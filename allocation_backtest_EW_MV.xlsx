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reslavVachev\Desktop\hmmvenv\MasterThesisTrials\"/>
    </mc:Choice>
  </mc:AlternateContent>
  <xr:revisionPtr revIDLastSave="0" documentId="13_ncr:1_{EF7D5874-683C-484F-9C5C-A1B9A2263F6B}" xr6:coauthVersionLast="47" xr6:coauthVersionMax="47" xr10:uidLastSave="{00000000-0000-0000-0000-000000000000}"/>
  <bookViews>
    <workbookView xWindow="14505" yWindow="-16995" windowWidth="14400" windowHeight="8175" xr2:uid="{00000000-000D-0000-FFFF-FFFF00000000}"/>
  </bookViews>
  <sheets>
    <sheet name="Config" sheetId="1" r:id="rId1"/>
    <sheet name="Performance" sheetId="2" r:id="rId2"/>
    <sheet name="Decision_Log" sheetId="3" r:id="rId3"/>
    <sheet name="Weights" sheetId="4" r:id="rId4"/>
    <sheet name="Wealth_Drawdown" sheetId="5" r:id="rId5"/>
    <sheet name="Asset_Returns" sheetId="6" r:id="rId6"/>
    <sheet name="Predictive_Probabiliti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4" l="1"/>
  <c r="Q2" i="4"/>
  <c r="R2" i="4"/>
  <c r="S2" i="4"/>
  <c r="T2" i="4"/>
  <c r="U2" i="4"/>
  <c r="V2" i="4"/>
  <c r="W2" i="4"/>
  <c r="X2" i="4"/>
</calcChain>
</file>

<file path=xl/sharedStrings.xml><?xml version="1.0" encoding="utf-8"?>
<sst xmlns="http://schemas.openxmlformats.org/spreadsheetml/2006/main" count="1864" uniqueCount="1186">
  <si>
    <t>section</t>
  </si>
  <si>
    <t>key</t>
  </si>
  <si>
    <t>value</t>
  </si>
  <si>
    <t>core_model</t>
  </si>
  <si>
    <t>model_label</t>
  </si>
  <si>
    <t>Model A (LT09TRUU)</t>
  </si>
  <si>
    <t>model_code</t>
  </si>
  <si>
    <t>A</t>
  </si>
  <si>
    <t>allocation_config</t>
  </si>
  <si>
    <t>rebalance_frequency</t>
  </si>
  <si>
    <t>ME</t>
  </si>
  <si>
    <t>top_n_satellites</t>
  </si>
  <si>
    <t>2</t>
  </si>
  <si>
    <t>max_satellite_weight</t>
  </si>
  <si>
    <t>0.4</t>
  </si>
  <si>
    <t>fixed_core_weights</t>
  </si>
  <si>
    <t>{'^SP500TR': 0.6, 'LT09TRUU': 0.4}</t>
  </si>
  <si>
    <t>long_only</t>
  </si>
  <si>
    <t>True</t>
  </si>
  <si>
    <t>no_leverage</t>
  </si>
  <si>
    <t>transaction_cost_bps</t>
  </si>
  <si>
    <t>5.0</t>
  </si>
  <si>
    <t>turnover_limit</t>
  </si>
  <si>
    <t>None</t>
  </si>
  <si>
    <t>min_regime_obs</t>
  </si>
  <si>
    <t>24</t>
  </si>
  <si>
    <t>shrinkage_intensity</t>
  </si>
  <si>
    <t>0.0</t>
  </si>
  <si>
    <t>score_improvement_floor</t>
  </si>
  <si>
    <t>0.001</t>
  </si>
  <si>
    <t>export_file</t>
  </si>
  <si>
    <t>allocation_results.xlsx</t>
  </si>
  <si>
    <t>equity_only_displacement</t>
  </si>
  <si>
    <t>equity_ticker</t>
  </si>
  <si>
    <t>^SP500TR</t>
  </si>
  <si>
    <t>investor_config</t>
  </si>
  <si>
    <t>name</t>
  </si>
  <si>
    <t>MV Investor</t>
  </si>
  <si>
    <t>investor_type</t>
  </si>
  <si>
    <t>MV</t>
  </si>
  <si>
    <t>lambda_</t>
  </si>
  <si>
    <t>3.0</t>
  </si>
  <si>
    <t>gamma</t>
  </si>
  <si>
    <t>delta</t>
  </si>
  <si>
    <t>satellite_0</t>
  </si>
  <si>
    <t>ticker</t>
  </si>
  <si>
    <t>XLB</t>
  </si>
  <si>
    <t>label</t>
  </si>
  <si>
    <t>Materials</t>
  </si>
  <si>
    <t>allowed_weights</t>
  </si>
  <si>
    <t>[0.0, 0.05, 0.1, 0.15, 0.2, 0.25, 0.3, 0.35, 0.4]</t>
  </si>
  <si>
    <t>group</t>
  </si>
  <si>
    <t>sector</t>
  </si>
  <si>
    <t>style</t>
  </si>
  <si>
    <t>cyclical</t>
  </si>
  <si>
    <t>satellite_1</t>
  </si>
  <si>
    <t>XLE</t>
  </si>
  <si>
    <t>Energy</t>
  </si>
  <si>
    <t>satellite_2</t>
  </si>
  <si>
    <t>XLF</t>
  </si>
  <si>
    <t>Financials</t>
  </si>
  <si>
    <t>satellite_3</t>
  </si>
  <si>
    <t>XLI</t>
  </si>
  <si>
    <t>Industrials</t>
  </si>
  <si>
    <t>satellite_4</t>
  </si>
  <si>
    <t>XLK</t>
  </si>
  <si>
    <t>Technology</t>
  </si>
  <si>
    <t>satellite_5</t>
  </si>
  <si>
    <t>XLY</t>
  </si>
  <si>
    <t>Consumer Discretionary</t>
  </si>
  <si>
    <t>satellite_6</t>
  </si>
  <si>
    <t>XLP</t>
  </si>
  <si>
    <t>Consumer Staples</t>
  </si>
  <si>
    <t>defensive</t>
  </si>
  <si>
    <t>satellite_7</t>
  </si>
  <si>
    <t>XLU</t>
  </si>
  <si>
    <t>Utilities</t>
  </si>
  <si>
    <t>satellite_8</t>
  </si>
  <si>
    <t>XLV</t>
  </si>
  <si>
    <t>Health Care</t>
  </si>
  <si>
    <t>satellite_9</t>
  </si>
  <si>
    <t>XAU</t>
  </si>
  <si>
    <t>Gold</t>
  </si>
  <si>
    <t>commodity</t>
  </si>
  <si>
    <t>strategy</t>
  </si>
  <si>
    <t>n_periods</t>
  </si>
  <si>
    <t>CAGR</t>
  </si>
  <si>
    <t>Volatility</t>
  </si>
  <si>
    <t>Sharpe</t>
  </si>
  <si>
    <t>Max_Drawdown</t>
  </si>
  <si>
    <t>Downside_Deviation</t>
  </si>
  <si>
    <t>Avg_Turnover</t>
  </si>
  <si>
    <t>Model A (LT09TRUU) | MV Investor | EW</t>
  </si>
  <si>
    <t>Model A (LT09TRUU) | MV Investor | EW_benchmark</t>
  </si>
  <si>
    <t>rebalance_date</t>
  </si>
  <si>
    <t>investor_name</t>
  </si>
  <si>
    <t>predictive_probabilities</t>
  </si>
  <si>
    <t>baseline_score</t>
  </si>
  <si>
    <t>selected_satellites</t>
  </si>
  <si>
    <t>selected_weights</t>
  </si>
  <si>
    <t>total_portfolio_weights</t>
  </si>
  <si>
    <t>expected_return</t>
  </si>
  <si>
    <t>variance</t>
  </si>
  <si>
    <t>skewness</t>
  </si>
  <si>
    <t>kurtosis</t>
  </si>
  <si>
    <t>final_score</t>
  </si>
  <si>
    <t>score_improvement</t>
  </si>
  <si>
    <t>metadata</t>
  </si>
  <si>
    <t>realized_date</t>
  </si>
  <si>
    <t>turnover</t>
  </si>
  <si>
    <t>transaction_cost</t>
  </si>
  <si>
    <t>gross_simple_return</t>
  </si>
  <si>
    <t>net_simple_return</t>
  </si>
  <si>
    <t>window_size</t>
  </si>
  <si>
    <t>{'Regime 0': 0.12500570289638574, 'Regime 1': 0.4776079977143968, 'Regime 2': 0.39738629938921743}</t>
  </si>
  <si>
    <t>XLE, XAU</t>
  </si>
  <si>
    <t>{'XLE': 0.21874857427590355, 'XAU': 0.01875085543445786}</t>
  </si>
  <si>
    <t>{'^SP500TR': 0.36250057028963856, 'LT09TRUU': 0.4, 'XLE': 0.21874857427590355, 'XAU': 0.01875085543445786}</t>
  </si>
  <si>
    <t>{'selected_satellites_str': 'XLE, XAU', 'candidate_id': 553, 'base_satellite_weights': {'XLE': 0.25, 'XAU': 0.15}, 'conviction_scalar': {'XLE': 0.8749942971036142, 'XAU': 0.12500570289638574}, 'realized_date': Timestamp('2004-02-29 00:00:00'), 'applied_weights_after_turnover_limit': {'^SP500TR': 0.36250057028963856, 'LT09TRUU': 0.4, 'XLB': 0.0, 'XLE': 0.21874857427590355, 'XLF': 0.0, 'XLI': 0.0, 'XLK': 0.0, 'XLY': 0.0, 'XLP': 0.0, 'XLU': 0.0, 'XLV': 0.0, 'XAU': 0.01875085543445786}, 'turnover': 0.47499885942072284, 'transaction_cost': 0.00023749942971036143, 'gross_simple_return': 0.02248057684515295, 'net_simple_return': 0.02224307741544259, 'window_size': 61, 'cash_weight': 0.0}</t>
  </si>
  <si>
    <t>{'Regime 0': 0.12477062271865164, 'Regime 1': 0.5948857245650397, 'Regime 2': 0.28034365271630857}</t>
  </si>
  <si>
    <t>{'XLE': 0.13128440659220225, 'XAU': 0.03119265567966291}</t>
  </si>
  <si>
    <t>{'^SP500TR': 0.43752293772813483, 'LT09TRUU': 0.4, 'XLE': 0.13128440659220225, 'XAU': 0.03119265567966291}</t>
  </si>
  <si>
    <t>{'selected_satellites_str': 'XLE, XAU', 'candidate_id': 546, 'base_satellite_weights': {'XLE': 0.15, 'XAU': 0.25}, 'conviction_scalar': {'XLE': 0.8752293772813484, 'XAU': 0.12477062271865164}, 'realized_date': Timestamp('2004-03-31 00:00:00'), 'applied_weights_after_turnover_limit': {'^SP500TR': 0.43752293772813483, 'LT09TRUU': 0.4, 'XLB': 0.0, 'XLE': 0.13128440659220225, 'XLF': 0.0, 'XLI': 0.0, 'XLK': 0.0, 'XLY': 0.0, 'XLP': 0.0, 'XLU': 0.0, 'XLV': 0.0, 'XAU': 0.03119265567966291}, 'turnover': 0.17492833536740263, 'transaction_cost': 8.746416768370132e-05, 'gross_simple_return': 9.95500311579961e-05, 'net_simple_return': 1.2085863474294782e-05, 'window_size': 62, 'cash_weight': 0.0}</t>
  </si>
  <si>
    <t>{'Regime 0': 0.27948837037649, 'Regime 1': 0.40596689745991416, 'Regime 2': 0.31454473216359585}</t>
  </si>
  <si>
    <t>XLB, XAU</t>
  </si>
  <si>
    <t>{'XLB': 0.0360255814811755, 'XAU': 0.0978209296317715}</t>
  </si>
  <si>
    <t>{'^SP500TR': 0.466153488887053, 'LT09TRUU': 0.4, 'XLB': 0.0360255814811755, 'XAU': 0.0978209296317715}</t>
  </si>
  <si>
    <t>{'selected_satellites_str': 'XLB, XAU', 'candidate_id': 311, 'base_satellite_weights': {'XLB': 0.05, 'XAU': 0.35}, 'conviction_scalar': {'XLB': 0.72051162962351, 'XAU': 0.27948837037649}, 'realized_date': Timestamp('2004-04-30 00:00:00'), 'applied_weights_after_turnover_limit': {'^SP500TR': 0.466153488887053, 'LT09TRUU': 0.4, 'XLB': 0.0360255814811755, 'XLE': 0.0, 'XLF': 0.0, 'XLI': 0.0, 'XLK': 0.0, 'XLY': 0.0, 'XLP': 0.0, 'XLU': 0.0, 'XLV': 0.0, 'XAU': 0.0978209296317715}, 'turnover': 0.2625688131844045, 'transaction_cost': 0.00013128440659220225, 'gross_simple_return': -0.035611529183558414, 'net_simple_return': -0.035742813590150614, 'window_size': 63, 'cash_weight': 0.0}</t>
  </si>
  <si>
    <t>{'Regime 0': 0.15622153952613102, 'Regime 1': 0.5726898362586064, 'Regime 2': 0.27108862421526275}</t>
  </si>
  <si>
    <t>{'XAU': 0.06248861581045241}</t>
  </si>
  <si>
    <t>{'^SP500TR': 0.5375113841895476, 'LT09TRUU': 0.4, 'XAU': 0.06248861581045241}</t>
  </si>
  <si>
    <t>{'selected_satellites_str': 'XAU', 'candidate_id': 80, 'base_satellite_weights': {'XAU': 0.4}, 'conviction_scalar': {'XAU': 0.15622153952613102}, 'realized_date': Timestamp('2004-05-31 00:00:00'), 'applied_weights_after_turnover_limit': {'^SP500TR': 0.5375113841895476, 'LT09TRUU': 0.4, 'XLB': 0.0, 'XLE': 0.0, 'XLF': 0.0, 'XLI': 0.0, 'XLK': 0.0, 'XLY': 0.0, 'XLP': 0.0, 'XLU': 0.0, 'XLV': 0.0, 'XAU': 0.06248861581045241}, 'turnover': 0.14271579060498918, 'transaction_cost': 7.135789530249459e-05, 'gross_simple_return': 0.006300149845990999, 'net_simple_return': 0.0062287919506885045, 'window_size': 64, 'cash_weight': 0.0}</t>
  </si>
  <si>
    <t>{'Regime 0': 0.48349854158765604, 'Regime 1': 0.4242036462827902, 'Regime 2': 0.09229781212955357}</t>
  </si>
  <si>
    <t>{'XAU': 0.19339941663506244}</t>
  </si>
  <si>
    <t>{'^SP500TR': 0.40660058336493754, 'LT09TRUU': 0.4, 'XAU': 0.19339941663506244}</t>
  </si>
  <si>
    <t>{'selected_satellites_str': 'XAU', 'candidate_id': 80, 'base_satellite_weights': {'XAU': 0.4}, 'conviction_scalar': {'XAU': 0.48349854158765604}, 'realized_date': Timestamp('2004-06-30 00:00:00'), 'applied_weights_after_turnover_limit': {'^SP500TR': 0.40660058336493754, 'LT09TRUU': 0.4, 'XLB': 0.0, 'XLE': 0.0, 'XLF': 0.0, 'XLI': 0.0, 'XLK': 0.0, 'XLY': 0.0, 'XLP': 0.0, 'XLU': 0.0, 'XLV': 0.0, 'XAU': 0.19339941663506244}, 'turnover': 0.2618216016492201, 'transaction_cost': 0.00013091080082461005, 'gross_simple_return': 0.009693004827949206, 'net_simple_return': 0.009562094027124596, 'window_size': 65, 'cash_weight': 0.0}</t>
  </si>
  <si>
    <t>{'Regime 0': 0.5654623973714984, 'Regime 1': 0.2571782495147189, 'Regime 2': 0.17735935311378287}</t>
  </si>
  <si>
    <t>{'XAU': 0.22618495894859936}</t>
  </si>
  <si>
    <t>{'^SP500TR': 0.3738150410514006, 'LT09TRUU': 0.4, 'XAU': 0.22618495894859936}</t>
  </si>
  <si>
    <t>{'selected_satellites_str': 'XAU', 'candidate_id': 80, 'base_satellite_weights': {'XAU': 0.4}, 'conviction_scalar': {'XAU': 0.5654623973714984}, 'realized_date': Timestamp('2004-07-31 00:00:00'), 'applied_weights_after_turnover_limit': {'^SP500TR': 0.3738150410514006, 'LT09TRUU': 0.4, 'XLB': 0.0, 'XLE': 0.0, 'XLF': 0.0, 'XLI': 0.0, 'XLK': 0.0, 'XLY': 0.0, 'XLP': 0.0, 'XLU': 0.0, 'XLV': 0.0, 'XAU': 0.22618495894859936}, 'turnover': 0.06557108462707384, 'transaction_cost': 3.278554231353692e-05, 'gross_simple_return': -0.009144800189506206, 'net_simple_return': -0.009177585731819742, 'window_size': 66, 'cash_weight': 0.0}</t>
  </si>
  <si>
    <t>{'Regime 0': 0.933632486318059, 'Regime 1': 8.532368333936632e-10, 'Regime 2': 0.06636751282870428}</t>
  </si>
  <si>
    <t>{'XAU': 0.3734529945272236}</t>
  </si>
  <si>
    <t>{'^SP500TR': 0.2265470054727764, 'LT09TRUU': 0.4, 'XAU': 0.3734529945272236}</t>
  </si>
  <si>
    <t>{'selected_satellites_str': 'XAU', 'candidate_id': 80, 'base_satellite_weights': {'XAU': 0.4}, 'conviction_scalar': {'XAU': 0.933632486318059}, 'realized_date': Timestamp('2004-08-31 00:00:00'), 'applied_weights_after_turnover_limit': {'^SP500TR': 0.2265470054727764, 'LT09TRUU': 0.4, 'XLB': 0.0, 'XLE': 0.0, 'XLF': 0.0, 'XLI': 0.0, 'XLK': 0.0, 'XLY': 0.0, 'XLP': 0.0, 'XLU': 0.0, 'XLV': 0.0, 'XAU': 0.3734529945272236}, 'turnover': 0.29453607115724845, 'transaction_cost': 0.00014726803557862423, 'gross_simple_return': 0.02977823520276602, 'net_simple_return': 0.029630967167187394, 'window_size': 67, 'cash_weight': 0.0}</t>
  </si>
  <si>
    <t>{'Regime 0': 0.9467045778327143, 'Regime 1': 6.35938449893522e-13, 'Regime 2': 0.05329542216664972}</t>
  </si>
  <si>
    <t>{'XAU': 0.37868183113308573}</t>
  </si>
  <si>
    <t>{'^SP500TR': 0.22131816886691424, 'LT09TRUU': 0.4, 'XAU': 0.37868183113308573}</t>
  </si>
  <si>
    <t>{'selected_satellites_str': 'XAU', 'candidate_id': 80, 'base_satellite_weights': {'XAU': 0.4}, 'conviction_scalar': {'XAU': 0.9467045778327143}, 'realized_date': Timestamp('2004-09-30 00:00:00'), 'applied_weights_after_turnover_limit': {'^SP500TR': 0.22131816886691424, 'LT09TRUU': 0.4, 'XLB': 0.0, 'XLE': 0.0, 'XLF': 0.0, 'XLI': 0.0, 'XLK': 0.0, 'XLY': 0.0, 'XLP': 0.0, 'XLU': 0.0, 'XLV': 0.0, 'XAU': 0.37868183113308573}, 'turnover': 0.010457673211724305, 'transaction_cost': 5.228836605862153e-06, 'gross_simple_return': 0.011521795324908749, 'net_simple_return': 0.011516566488302887, 'window_size': 68, 'cash_weight': 0.0}</t>
  </si>
  <si>
    <t>{'Regime 0': 0.9475770529625578, 'Regime 1': 9.975303321623581e-07, 'Regime 2': 0.05242194950711007}</t>
  </si>
  <si>
    <t>{'XLE': 0.0052422947037442215, 'XAU': 0.2842731158887673}</t>
  </si>
  <si>
    <t>{'^SP500TR': 0.31048458940748846, 'LT09TRUU': 0.4, 'XLE': 0.0052422947037442215, 'XAU': 0.2842731158887673}</t>
  </si>
  <si>
    <t>{'selected_satellites_str': 'XLE, XAU', 'candidate_id': 541, 'base_satellite_weights': {'XLE': 0.1, 'XAU': 0.3}, 'conviction_scalar': {'XLE': 0.052422947037442214, 'XAU': 0.9475770529625578}, 'realized_date': Timestamp('2004-10-31 00:00:00'), 'applied_weights_after_turnover_limit': {'^SP500TR': 0.31048458940748846, 'LT09TRUU': 0.4, 'XLB': 0.0, 'XLE': 0.0052422947037442215, 'XLF': 0.0, 'XLI': 0.0, 'XLK': 0.0, 'XLY': 0.0, 'XLP': 0.0, 'XLU': 0.0, 'XLV': 0.0, 'XAU': 0.2842731158887673}, 'turnover': 0.18881743048863686, 'transaction_cost': 9.440871524431844e-05, 'gross_simple_return': 0.015692557755903443, 'net_simple_return': 0.015598149040659126, 'window_size': 69, 'cash_weight': 0.0}</t>
  </si>
  <si>
    <t>{'Regime 0': 0.933706904578626, 'Regime 1': 4.3681849554759653e-10, 'Regime 2': 0.06629309498455555}</t>
  </si>
  <si>
    <t>{'XLE': 0.0033146547710686983, 'XAU': 0.3267974166025191}</t>
  </si>
  <si>
    <t>{'^SP500TR': 0.2698879286264122, 'LT09TRUU': 0.4, 'XLE': 0.0033146547710686983, 'XAU': 0.3267974166025191}</t>
  </si>
  <si>
    <t>{'selected_satellites_str': 'XLE, XAU', 'candidate_id': 535, 'base_satellite_weights': {'XLE': 0.05, 'XAU': 0.35}, 'conviction_scalar': {'XLE': 0.06629309542137396, 'XAU': 0.933706904578626}, 'realized_date': Timestamp('2004-11-30 00:00:00'), 'applied_weights_after_turnover_limit': {'^SP500TR': 0.2698879286264122, 'LT09TRUU': 0.4, 'XLB': 0.0, 'XLE': 0.0033146547710686983, 'XLF': 0.0, 'XLI': 0.0, 'XLK': 0.0, 'XLY': 0.0, 'XLP': 0.0, 'XLU': 0.0, 'XLV': 0.0, 'XAU': 0.3267974166025191}, 'turnover': 0.08504860142750359, 'transaction_cost': 4.252430071375179e-05, 'gross_simple_return': 0.02011259753527066, 'net_simple_return': 0.02007007323455691, 'window_size': 70, 'cash_weight': 0.0}</t>
  </si>
  <si>
    <t>{'Regime 0': 0.5319663296149949, 'Regime 1': 0.36458807070864635, 'Regime 2': 0.10344559967635883}</t>
  </si>
  <si>
    <t>{'XAU': 0.21278653184599797}</t>
  </si>
  <si>
    <t>{'^SP500TR': 0.38721346815400204, 'LT09TRUU': 0.4, 'XAU': 0.21278653184599797}</t>
  </si>
  <si>
    <t>{'selected_satellites_str': 'XAU', 'candidate_id': 80, 'base_satellite_weights': {'XAU': 0.4}, 'conviction_scalar': {'XAU': 0.5319663296149949}, 'realized_date': Timestamp('2004-12-31 00:00:00'), 'applied_weights_after_turnover_limit': {'^SP500TR': 0.38721346815400204, 'LT09TRUU': 0.4, 'XLB': 0.0, 'XLE': 0.0, 'XLF': 0.0, 'XLI': 0.0, 'XLK': 0.0, 'XLY': 0.0, 'XLP': 0.0, 'XLU': 0.0, 'XLV': 0.0, 'XAU': 0.21278653184599797}, 'turnover': 0.23465107905517968, 'transaction_cost': 0.00011732553952758985, 'gross_simple_return': 0.012159944972307072, 'net_simple_return': 0.012042619432779483, 'window_size': 71, 'cash_weight': 0.0}</t>
  </si>
  <si>
    <t>{'Regime 0': 0.9381011828881984, 'Regime 1': 0.004120794115671641, 'Regime 2': 0.057778022996129864}</t>
  </si>
  <si>
    <t>{'XLE': 0.0030949408555900784, 'XAU': 0.3283354140108694}</t>
  </si>
  <si>
    <t>{'^SP500TR': 0.2685696451335405, 'LT09TRUU': 0.4, 'XLE': 0.0030949408555900784, 'XAU': 0.3283354140108694}</t>
  </si>
  <si>
    <t>{'selected_satellites_str': 'XLE, XAU', 'candidate_id': 535, 'base_satellite_weights': {'XLE': 0.05, 'XAU': 0.35}, 'conviction_scalar': {'XLE': 0.06189881711180156, 'XAU': 0.9381011828881984}, 'realized_date': Timestamp('2005-01-31 00:00:00'), 'applied_weights_after_turnover_limit': {'^SP500TR': 0.2685696451335405, 'LT09TRUU': 0.4, 'XLB': 0.0, 'XLE': 0.0030949408555900784, 'XLF': 0.0, 'XLI': 0.0, 'XLK': 0.0, 'XLY': 0.0, 'XLP': 0.0, 'XLU': 0.0, 'XLV': 0.0, 'XAU': 0.3283354140108694}, 'turnover': 0.23728764604092306, 'transaction_cost': 0.00011864382302046154, 'gross_simple_return': -0.015656002760117256, 'net_simple_return': -0.01577464658313772, 'window_size': 72, 'cash_weight': 0.0}</t>
  </si>
  <si>
    <t>{'Regime 0': 0.4580711036676806, 'Regime 1': 0.46350551070826684, 'Regime 2': 0.07842338562405268}</t>
  </si>
  <si>
    <t>{'XAU': 0.18322844146707226}</t>
  </si>
  <si>
    <t>{'^SP500TR': 0.4167715585329277, 'LT09TRUU': 0.4, 'XAU': 0.18322844146707226}</t>
  </si>
  <si>
    <t>{'selected_satellites_str': 'XAU', 'candidate_id': 80, 'base_satellite_weights': {'XAU': 0.4}, 'conviction_scalar': {'XAU': 0.4580711036676806}, 'realized_date': Timestamp('2005-02-28 00:00:00'), 'applied_weights_after_turnover_limit': {'^SP500TR': 0.4167715585329277, 'LT09TRUU': 0.4, 'XLB': 0.0, 'XLE': 0.0, 'XLF': 0.0, 'XLI': 0.0, 'XLK': 0.0, 'XLY': 0.0, 'XLP': 0.0, 'XLU': 0.0, 'XLV': 0.0, 'XAU': 0.18322844146707226}, 'turnover': 0.2964038267987744, 'transaction_cost': 0.0001482019133993872, 'gross_simple_return': 0.009236475711247505, 'net_simple_return': 0.009088273797848117, 'window_size': 73, 'cash_weight': 0.0}</t>
  </si>
  <si>
    <t>{'Regime 0': 0.2182290983821408, 'Regime 1': 0.75069018983133, 'Regime 2': 0.03108071178652928}</t>
  </si>
  <si>
    <t>{'XLE': 0.23453127048535777, 'XAU': 0.021822909838214083}</t>
  </si>
  <si>
    <t>{'^SP500TR': 0.34364581967642815, 'LT09TRUU': 0.4, 'XLE': 0.23453127048535777, 'XAU': 0.021822909838214083}</t>
  </si>
  <si>
    <t>{'selected_satellites_str': 'XLE, XAU', 'candidate_id': 555, 'base_satellite_weights': {'XLE': 0.3, 'XAU': 0.1}, 'conviction_scalar': {'XLE': 0.7817709016178592, 'XAU': 0.2182290983821408}, 'realized_date': Timestamp('2005-03-31 00:00:00'), 'applied_weights_after_turnover_limit': {'^SP500TR': 0.34364581967642815, 'LT09TRUU': 0.4, 'XLB': 0.0, 'XLE': 0.23453127048535777, 'XLF': 0.0, 'XLI': 0.0, 'XLK': 0.0, 'XLY': 0.0, 'XLP': 0.0, 'XLU': 0.0, 'XLV': 0.0, 'XAU': 0.021822909838214083}, 'turnover': 0.4690625409707155, 'transaction_cost': 0.00023453127048535775, 'gross_simple_return': -0.013129914168405777, 'net_simple_return': -0.013364445438891134, 'window_size': 74, 'cash_weight': 0.0}</t>
  </si>
  <si>
    <t>{'Regime 0': 0.8907474309275885, 'Regime 1': 0.00012206648266876905, 'Regime 2': 0.1091305025897428}</t>
  </si>
  <si>
    <t>{'XLE': 0.01638788536086173, 'XAU': 0.22268685773189711}</t>
  </si>
  <si>
    <t>{'^SP500TR': 0.36092525690724114, 'LT09TRUU': 0.4, 'XLE': 0.01638788536086173, 'XAU': 0.22268685773189711}</t>
  </si>
  <si>
    <t>{'selected_satellites_str': 'XLE, XAU', 'candidate_id': 546, 'base_satellite_weights': {'XLE': 0.15, 'XAU': 0.25}, 'conviction_scalar': {'XLE': 0.10925256907241154, 'XAU': 0.8907474309275885}, 'realized_date': Timestamp('2005-04-30 00:00:00'), 'applied_weights_after_turnover_limit': {'^SP500TR': 0.36092525690724114, 'LT09TRUU': 0.4, 'XLB': 0.0, 'XLE': 0.01638788536086173, 'XLF': 0.0, 'XLI': 0.0, 'XLK': 0.0, 'XLY': 0.0, 'XLP': 0.0, 'XLU': 0.0, 'XLV': 0.0, 'XAU': 0.22268685773189711}, 'turnover': 0.4362867702489921, 'transaction_cost': 0.00021814338512449606, 'gross_simple_return': 0.005040818948911958, 'net_simple_return': 0.004822675563787462, 'window_size': 75, 'cash_weight': 0.0}</t>
  </si>
  <si>
    <t>{'Regime 0': 0.9360780393944598, 'Regime 1': 6.107178807404968e-15, 'Regime 2': 0.06392196060553412}</t>
  </si>
  <si>
    <t>{'XLE': 0.006392196060554023, 'XAU': 0.2808234118183379}</t>
  </si>
  <si>
    <t>{'^SP500TR': 0.31278439212110803, 'LT09TRUU': 0.4, 'XLE': 0.006392196060554023, 'XAU': 0.2808234118183379}</t>
  </si>
  <si>
    <t>{'selected_satellites_str': 'XLE, XAU', 'candidate_id': 541, 'base_satellite_weights': {'XLE': 0.1, 'XAU': 0.3}, 'conviction_scalar': {'XLE': 0.06392196060554023, 'XAU': 0.9360780393944598}, 'realized_date': Timestamp('2005-05-31 00:00:00'), 'applied_weights_after_turnover_limit': {'^SP500TR': 0.31278439212110803, 'LT09TRUU': 0.4, 'XLB': 0.0, 'XLE': 0.006392196060554023, 'XLF': 0.0, 'XLI': 0.0, 'XLK': 0.0, 'XLY': 0.0, 'XLP': 0.0, 'XLU': 0.0, 'XLV': 0.0, 'XAU': 0.2808234118183379}, 'turnover': 0.11627310817288163, 'transaction_cost': 5.813655408644081e-05, 'gross_simple_return': 0.00501552224623719, 'net_simple_return': 0.004957385692150749, 'window_size': 76, 'cash_weight': 0.0}</t>
  </si>
  <si>
    <t>{'Regime 0': 0.9312285232442359, 'Regime 1': 0.04887897514536232, 'Regime 2': 0.019892501610401823}</t>
  </si>
  <si>
    <t>{'XAU': 0.37249140929769436}</t>
  </si>
  <si>
    <t>{'^SP500TR': 0.2275085907023056, 'LT09TRUU': 0.4, 'XAU': 0.37249140929769436}</t>
  </si>
  <si>
    <t>{'selected_satellites_str': 'XAU', 'candidate_id': 80, 'base_satellite_weights': {'XAU': 0.4}, 'conviction_scalar': {'XAU': 0.9312285232442359}, 'realized_date': Timestamp('2005-06-30 00:00:00'), 'applied_weights_after_turnover_limit': {'^SP500TR': 0.2275085907023056, 'LT09TRUU': 0.4, 'XLB': 0.0, 'XLE': 0.0, 'XLF': 0.0, 'XLI': 0.0, 'XLK': 0.0, 'XLY': 0.0, 'XLP': 0.0, 'XLU': 0.0, 'XLV': 0.0, 'XAU': 0.37249140929769436}, 'turnover': 0.1833359949587129, 'transaction_cost': 9.166799747935645e-05, 'gross_simple_return': 0.018809241358627864, 'net_simple_return': 0.018717573361148508, 'window_size': 77, 'cash_weight': 0.0}</t>
  </si>
  <si>
    <t>{'Regime 0': 0.25112050935931285, 'Regime 1': 0.5157821655948502, 'Regime 2': 0.2330973250458369}</t>
  </si>
  <si>
    <t>{'XLB': 0.07488794906406872, 'XAU': 0.07533615280779385}</t>
  </si>
  <si>
    <t>{'^SP500TR': 0.4497758981281374, 'LT09TRUU': 0.4, 'XLB': 0.07488794906406872, 'XAU': 0.07533615280779385}</t>
  </si>
  <si>
    <t>{'selected_satellites_str': 'XLB, XAU', 'candidate_id': 317, 'base_satellite_weights': {'XLB': 0.1, 'XAU': 0.3}, 'conviction_scalar': {'XLB': 0.7488794906406872, 'XAU': 0.25112050935931285}, 'realized_date': Timestamp('2005-07-31 00:00:00'), 'applied_weights_after_turnover_limit': {'^SP500TR': 0.4497758981281374, 'LT09TRUU': 0.4, 'XLB': 0.07488794906406872, 'XLE': 0.0, 'XLF': 0.0, 'XLI': 0.0, 'XLK': 0.0, 'XLY': 0.0, 'XLP': 0.0, 'XLU': 0.0, 'XLV': 0.0, 'XAU': 0.07533615280779385}, 'turnover': 0.594310512979801, 'transaction_cost': 0.0002971552564899005, 'gross_simple_return': 0.011803309286441901, 'net_simple_return': 0.011506154029952, 'window_size': 78, 'cash_weight': 0.0}</t>
  </si>
  <si>
    <t>{'Regime 0': 0.9515279498006628, 'Regime 1': 5.7760836396317185e-05, 'Regime 2': 0.04841428936294085}</t>
  </si>
  <si>
    <t>{'XLE': 0.00727080752990058, 'XAU': 0.2378819874501657}</t>
  </si>
  <si>
    <t>{'^SP500TR': 0.3548472050199337, 'LT09TRUU': 0.4, 'XLE': 0.00727080752990058, 'XAU': 0.2378819874501657}</t>
  </si>
  <si>
    <t>{'selected_satellites_str': 'XLE, XAU', 'candidate_id': 546, 'base_satellite_weights': {'XLE': 0.15, 'XAU': 0.25}, 'conviction_scalar': {'XLE': 0.0484720501993372, 'XAU': 0.9515279498006628}, 'realized_date': Timestamp('2005-08-31 00:00:00'), 'applied_weights_after_turnover_limit': {'^SP500TR': 0.3548472050199337, 'LT09TRUU': 0.4, 'XLB': 0.0, 'XLE': 0.00727080752990058, 'XLF': 0.0, 'XLI': 0.0, 'XLK': 0.0, 'XLY': 0.0, 'XLP': 0.0, 'XLU': 0.0, 'XLV': 0.0, 'XAU': 0.2378819874501657}, 'turnover': 0.3396332843445449, 'transaction_cost': 0.00016981664217227243, 'gross_simple_return': 0.008049114676628, 'net_simple_return': 0.007879298034455728, 'window_size': 79, 'cash_weight': 0.0}</t>
  </si>
  <si>
    <t>{'Regime 0': 0.9477828776094075, 'Regime 1': 6.20911922879938e-09, 'Regime 2': 0.052217116181473275}</t>
  </si>
  <si>
    <t>{'XLE': 0.010443424478118503, 'XAU': 0.18955657552188152}</t>
  </si>
  <si>
    <t>{'^SP500TR': 0.39999999999999997, 'LT09TRUU': 0.4, 'XLE': 0.010443424478118503, 'XAU': 0.18955657552188152}</t>
  </si>
  <si>
    <t>{'selected_satellites_str': 'XLE, XAU', 'candidate_id': 550, 'base_satellite_weights': {'XLE': 0.2, 'XAU': 0.2}, 'conviction_scalar': {'XLE': 0.05221712239059251, 'XAU': 0.9477828776094075}, 'realized_date': Timestamp('2005-09-30 00:00:00'), 'applied_weights_after_turnover_limit': {'^SP500TR': 0.39999999999999997, 'LT09TRUU': 0.4, 'XLB': 0.0, 'XLE': 0.010443424478118503, 'XLF': 0.0, 'XLI': 0.0, 'XLK': 0.0, 'XLY': 0.0, 'XLP': 0.0, 'XLU': 0.0, 'XLV': 0.0, 'XAU': 0.18955657552188152}, 'turnover': 0.09665082385656835, 'transaction_cost': 4.8325411928284176e-05, 'gross_simple_return': 0.011244311076417404, 'net_simple_return': 0.011195985664489119, 'window_size': 80, 'cash_weight': 0.0}</t>
  </si>
  <si>
    <t>{'Regime 0': 0.9477296610692335, 'Regime 1': 5.333649712732926e-06, 'Regime 2': 0.05226500528105376}</t>
  </si>
  <si>
    <t>{'XLE': 0.007840550839614973, 'XAU': 0.23693241526730838}</t>
  </si>
  <si>
    <t>{'^SP500TR': 0.35522703389307664, 'LT09TRUU': 0.4, 'XLE': 0.007840550839614973, 'XAU': 0.23693241526730838}</t>
  </si>
  <si>
    <t>{'selected_satellites_str': 'XLE, XAU', 'candidate_id': 546, 'base_satellite_weights': {'XLE': 0.15, 'XAU': 0.25}, 'conviction_scalar': {'XLE': 0.05227033893076649, 'XAU': 0.9477296610692335}, 'realized_date': Timestamp('2005-10-31 00:00:00'), 'applied_weights_after_turnover_limit': {'^SP500TR': 0.35522703389307664, 'LT09TRUU': 0.4, 'XLB': 0.0, 'XLE': 0.007840550839614973, 'XLF': 0.0, 'XLI': 0.0, 'XLK': 0.0, 'XLY': 0.0, 'XLP': 0.0, 'XLU': 0.0, 'XLV': 0.0, 'XAU': 0.23693241526730838}, 'turnover': 0.09475167949085372, 'transaction_cost': 4.737583974542686e-05, 'gross_simple_return': -0.013455511033968007, 'net_simple_return': -0.013502886873713434, 'window_size': 81, 'cash_weight': 0.0}</t>
  </si>
  <si>
    <t>{'Regime 0': 0.025842014405574397, 'Regime 1': 5.175950176546733e-08, 'Regime 2': 0.9741579338349239}</t>
  </si>
  <si>
    <t>{'XLE': 0.19483159711888512, 'XAU': 0.00516840288111488}</t>
  </si>
  <si>
    <t>{'^SP500TR': 0.39999999999999997, 'LT09TRUU': 0.4, 'XLE': 0.19483159711888512, 'XAU': 0.00516840288111488}</t>
  </si>
  <si>
    <t>{'selected_satellites_str': 'XLE, XAU', 'candidate_id': 550, 'base_satellite_weights': {'XLE': 0.2, 'XAU': 0.2}, 'conviction_scalar': {'XLE': 0.9741579855944256, 'XAU': 0.025842014405574397}, 'realized_date': Timestamp('2005-11-30 00:00:00'), 'applied_weights_after_turnover_limit': {'^SP500TR': 0.39999999999999997, 'LT09TRUU': 0.4, 'XLB': 0.0, 'XLE': 0.19483159711888512, 'XLF': 0.0, 'XLI': 0.0, 'XLK': 0.0, 'XLY': 0.0, 'XLP': 0.0, 'XLU': 0.0, 'XLV': 0.0, 'XAU': 0.00516840288111488}, 'turnover': 0.46352802477238697, 'transaction_cost': 0.0002317640123861935, 'gross_simple_return': 0.020576997153668678, 'net_simple_return': 0.020345233141282483, 'window_size': 82, 'cash_weight': 0.0}</t>
  </si>
  <si>
    <t>{'Regime 0': 0.06830011196373403, 'Regime 1': 0.9307549630157673, 'Regime 2': 0.000944925020498757}</t>
  </si>
  <si>
    <t>{'XLE': 0.37267995521450636}</t>
  </si>
  <si>
    <t>{'^SP500TR': 0.2273200447854936, 'LT09TRUU': 0.4, 'XLE': 0.37267995521450636}</t>
  </si>
  <si>
    <t>{'selected_satellites_str': 'XLE', 'candidate_id': 16, 'base_satellite_weights': {'XLE': 0.4}, 'conviction_scalar': {'XLE': 0.9316998880362659}, 'realized_date': Timestamp('2005-12-31 00:00:00'), 'applied_weights_after_turnover_limit': {'^SP500TR': 0.2273200447854936, 'LT09TRUU': 0.4, 'XLB': 0.0, 'XLE': 0.37267995521450636, 'XLF': 0.0, 'XLI': 0.0, 'XLK': 0.0, 'XLY': 0.0, 'XLP': 0.0, 'XLU': 0.0, 'XLV': 0.0, 'XAU': 0.0}, 'turnover': 0.35569671619124243, 'transaction_cost': 0.00017784835809562123, 'gross_simple_return': 0.011640166366383108, 'net_simple_return': 0.011462318008287488, 'window_size': 83, 'cash_weight': 0.0}</t>
  </si>
  <si>
    <t>{'Regime 0': 0.9188198346799262, 'Regime 1': 0.00042129841575812586, 'Regime 2': 0.08075886690431569}</t>
  </si>
  <si>
    <t>{'XAU': 0.3675279338719705}</t>
  </si>
  <si>
    <t>{'^SP500TR': 0.23247206612802945, 'LT09TRUU': 0.4, 'XAU': 0.3675279338719705}</t>
  </si>
  <si>
    <t>{'selected_satellites_str': 'XAU', 'candidate_id': 80, 'base_satellite_weights': {'XAU': 0.4}, 'conviction_scalar': {'XAU': 0.9188198346799262}, 'realized_date': Timestamp('2006-01-31 00:00:00'), 'applied_weights_after_turnover_limit': {'^SP500TR': 0.23247206612802945, 'LT09TRUU': 0.4, 'XLB': 0.0, 'XLE': 0.0, 'XLF': 0.0, 'XLI': 0.0, 'XLK': 0.0, 'XLY': 0.0, 'XLP': 0.0, 'XLU': 0.0, 'XLV': 0.0, 'XAU': 0.3675279338719705}, 'turnover': 0.7453599104290127, 'transaction_cost': 0.0003726799552145064, 'gross_simple_return': 0.039704299735689175, 'net_simple_return': 0.03933161978047467, 'window_size': 84, 'cash_weight': 0.0}</t>
  </si>
  <si>
    <t>{'Regime 0': 0.02054994666696207, 'Regime 1': 0.5624474329166859, 'Regime 2': 0.4170026204163521}</t>
  </si>
  <si>
    <t>{'XLE': 0.29383501599991135, 'XAU': 0.002054994666696207}</t>
  </si>
  <si>
    <t>{'^SP500TR': 0.3041099893333924, 'LT09TRUU': 0.4, 'XLE': 0.29383501599991135, 'XAU': 0.002054994666696207}</t>
  </si>
  <si>
    <t>{'selected_satellites_str': 'XLE, XAU', 'candidate_id': 555, 'base_satellite_weights': {'XLE': 0.3, 'XAU': 0.1}, 'conviction_scalar': {'XLE': 0.9794500533330379, 'XAU': 0.02054994666696207}, 'realized_date': Timestamp('2006-02-28 00:00:00'), 'applied_weights_after_turnover_limit': {'^SP500TR': 0.3041099893333924, 'LT09TRUU': 0.4, 'XLB': 0.0, 'XLE': 0.29383501599991135, 'XLF': 0.0, 'XLI': 0.0, 'XLK': 0.0, 'XLY': 0.0, 'XLP': 0.0, 'XLU': 0.0, 'XLV': 0.0, 'XAU': 0.002054994666696207}, 'turnover': 0.7309458784105486, 'transaction_cost': 0.0003654729392052743, 'gross_simple_return': -0.027574962120416126, 'net_simple_return': -0.0279404350596214, 'window_size': 85, 'cash_weight': 0.0}</t>
  </si>
  <si>
    <t>{'Regime 0': 0.045890472285495934, 'Regime 1': 0.952543959368501, 'Regime 2': 0.0015655683460031058}</t>
  </si>
  <si>
    <t>{'XLE': 0.2862328583143512, 'XAU': 0.004589047228549594}</t>
  </si>
  <si>
    <t>{'^SP500TR': 0.3091780944570992, 'LT09TRUU': 0.4, 'XLE': 0.2862328583143512, 'XAU': 0.004589047228549594}</t>
  </si>
  <si>
    <t>{'selected_satellites_str': 'XLE, XAU', 'candidate_id': 555, 'base_satellite_weights': {'XLE': 0.3, 'XAU': 0.1}, 'conviction_scalar': {'XLE': 0.9541095277145041, 'XAU': 0.045890472285495934}, 'realized_date': Timestamp('2006-03-31 00:00:00'), 'applied_weights_after_turnover_limit': {'^SP500TR': 0.3091780944570992, 'LT09TRUU': 0.4, 'XLB': 0.0, 'XLE': 0.2862328583143512, 'XLF': 0.0, 'XLI': 0.0, 'XLK': 0.0, 'XLY': 0.0, 'XLP': 0.0, 'XLU': 0.0, 'XLV': 0.0, 'XAU': 0.004589047228549594}, 'turnover': 0.015204315371120361, 'transaction_cost': 7.6021576855601805e-06, 'gross_simple_return': 0.010337190931829946, 'net_simple_return': 0.010329588774144386, 'window_size': 86, 'cash_weight': 0.0}</t>
  </si>
  <si>
    <t>{'Regime 0': 0.04362519478179998, 'Regime 1': 0.9558581423172395, 'Regime 2': 0.0005166629009604835}</t>
  </si>
  <si>
    <t>{'XLE': 0.28691244156546003, 'XAU': 0.004362519478179998}</t>
  </si>
  <si>
    <t>{'^SP500TR': 0.30872503895635994, 'LT09TRUU': 0.4, 'XLE': 0.28691244156546003, 'XAU': 0.004362519478179998}</t>
  </si>
  <si>
    <t>{'selected_satellites_str': 'XLE, XAU', 'candidate_id': 555, 'base_satellite_weights': {'XLE': 0.3, 'XAU': 0.1}, 'conviction_scalar': {'XLE': 0.9563748052182001, 'XAU': 0.04362519478179998}, 'realized_date': Timestamp('2006-04-30 00:00:00'), 'applied_weights_after_turnover_limit': {'^SP500TR': 0.30872503895635994, 'LT09TRUU': 0.4, 'XLB': 0.0, 'XLE': 0.28691244156546003, 'XLF': 0.0, 'XLI': 0.0, 'XLK': 0.0, 'XLY': 0.0, 'XLP': 0.0, 'XLU': 0.0, 'XLV': 0.0, 'XAU': 0.004362519478179998}, 'turnover': 0.001359166502217699, 'transaction_cost': 6.795832511088495e-07, 'gross_simple_return': 0.016389648363378848, 'net_simple_return': 0.016388968780127737, 'window_size': 87, 'cash_weight': 0.0}</t>
  </si>
  <si>
    <t>{'Regime 0': 0.01881501689704658, 'Regime 1': 0.9486336496646149, 'Regime 2': 0.03255133343833855}</t>
  </si>
  <si>
    <t>XLB, XLE</t>
  </si>
  <si>
    <t>{'XLB': 0.14717774746544302, 'XLE': 0.24529624577573836}</t>
  </si>
  <si>
    <t>{'^SP500TR': 0.2075260067588186, 'LT09TRUU': 0.4, 'XLB': 0.14717774746544302, 'XLE': 0.24529624577573836}</t>
  </si>
  <si>
    <t>{'selected_satellites_str': 'XLB, XLE', 'candidate_id': 98, 'base_satellite_weights': {'XLB': 0.15, 'XLE': 0.25}, 'conviction_scalar': {'XLB': 0.9811849831029534, 'XLE': 0.9811849831029534}, 'realized_date': Timestamp('2006-05-31 00:00:00'), 'applied_weights_after_turnover_limit': {'^SP500TR': 0.2075260067588186, 'LT09TRUU': 0.4, 'XLB': 0.14717774746544302, 'XLE': 0.24529624577573836, 'XLF': 0.0, 'XLI': 0.0, 'XLK': 0.0, 'XLY': 0.0, 'XLP': 0.0, 'XLU': 0.0, 'XLV': 0.0, 'XAU': 0.0}, 'turnover': 0.29435549493088603, 'transaction_cost': 0.00014717774746544302, 'gross_simple_return': -0.01922017428649658, 'net_simple_return': -0.01936735203396202, 'window_size': 88, 'cash_weight': 0.0}</t>
  </si>
  <si>
    <t>{'Regime 0': 1.2293086450829996e-06, 'Regime 1': 0.9502941424732892, 'Regime 2': 0.049704628218065636}</t>
  </si>
  <si>
    <t>{'XLE': 0.39999950827654196}</t>
  </si>
  <si>
    <t>{'^SP500TR': 0.20000049172345802, 'LT09TRUU': 0.4, 'XLE': 0.39999950827654196}</t>
  </si>
  <si>
    <t>{'selected_satellites_str': 'XLE', 'candidate_id': 16, 'base_satellite_weights': {'XLE': 0.4}, 'conviction_scalar': {'XLE': 0.9999987706913549}, 'realized_date': Timestamp('2006-06-30 00:00:00'), 'applied_weights_after_turnover_limit': {'^SP500TR': 0.20000049172345802, 'LT09TRUU': 0.4, 'XLB': 0.0, 'XLE': 0.39999950827654196, 'XLF': 0.0, 'XLI': 0.0, 'XLK': 0.0, 'XLY': 0.0, 'XLP': 0.0, 'XLU': 0.0, 'XLV': 0.0, 'XAU': 0.0}, 'turnover': 0.3094065250016072, 'transaction_cost': 0.0001547032625008036, 'gross_simple_return': 0.011619858305261202, 'net_simple_return': 0.011465155042760399, 'window_size': 89, 'cash_weight': 0.0}</t>
  </si>
  <si>
    <t>{'Regime 0': 4.998832160223271e-07, 'Regime 1': 0.937374637571749, 'Regime 2': 0.06262486254503491}</t>
  </si>
  <si>
    <t>{'XLE': 0.3999998000467136}</t>
  </si>
  <si>
    <t>{'^SP500TR': 0.20000019995328638, 'LT09TRUU': 0.4, 'XLE': 0.3999998000467136}</t>
  </si>
  <si>
    <t>{'selected_satellites_str': 'XLE', 'candidate_id': 16, 'base_satellite_weights': {'XLE': 0.4}, 'conviction_scalar': {'XLE': 0.999999500116784}, 'realized_date': Timestamp('2006-07-31 00:00:00'), 'applied_weights_after_turnover_limit': {'^SP500TR': 0.20000019995328638, 'LT09TRUU': 0.4, 'XLB': 0.0, 'XLE': 0.3999998000467136, 'XLF': 0.0, 'XLI': 0.0, 'XLK': 0.0, 'XLY': 0.0, 'XLP': 0.0, 'XLU': 0.0, 'XLV': 0.0, 'XAU': 0.0}, 'turnover': 5.835403432685737e-07, 'transaction_cost': 2.917701716342869e-10, 'gross_simple_return': 0.020791994109603536, 'net_simple_return': 0.020791993817833365, 'window_size': 90, 'cash_weight': 0.0}</t>
  </si>
  <si>
    <t>{'Regime 0': 0.03605694037099311, 'Regime 1': 0.3791616024668178, 'Regime 2': 0.5847814571621892}</t>
  </si>
  <si>
    <t>{'XLE': 0.28918291788870204, 'XAU': 0.003605694037099311}</t>
  </si>
  <si>
    <t>{'^SP500TR': 0.3072113880741986, 'LT09TRUU': 0.4, 'XLE': 0.28918291788870204, 'XAU': 0.003605694037099311}</t>
  </si>
  <si>
    <t>{'selected_satellites_str': 'XLE, XAU', 'candidate_id': 555, 'base_satellite_weights': {'XLE': 0.3, 'XAU': 0.1}, 'conviction_scalar': {'XLE': 0.9639430596290068, 'XAU': 0.03605694037099311}, 'realized_date': Timestamp('2006-08-31 00:00:00'), 'applied_weights_after_turnover_limit': {'^SP500TR': 0.3072113880741986, 'LT09TRUU': 0.4, 'XLB': 0.0, 'XLE': 0.28918291788870204, 'XLF': 0.0, 'XLI': 0.0, 'XLK': 0.0, 'XLY': 0.0, 'XLP': 0.0, 'XLU': 0.0, 'XLV': 0.0, 'XAU': 0.003605694037099311}, 'turnover': 0.2216337643160231, 'transaction_cost': 0.00011081688215801156, 'gross_simple_return': -0.0005205756743734341, 'net_simple_return': -0.0006313925565314456, 'window_size': 91, 'cash_weight': 0.0}</t>
  </si>
  <si>
    <t>{'Regime 0': 0.8095421397471677, 'Regime 1': 0.1672575077052411, 'Regime 2': 0.023200352547591264}</t>
  </si>
  <si>
    <t>{'XAU': 0.3238168558988671}</t>
  </si>
  <si>
    <t>{'^SP500TR': 0.27618314410113287, 'LT09TRUU': 0.4, 'XAU': 0.3238168558988671}</t>
  </si>
  <si>
    <t>{'selected_satellites_str': 'XAU', 'candidate_id': 80, 'base_satellite_weights': {'XAU': 0.4}, 'conviction_scalar': {'XAU': 0.8095421397471677}, 'realized_date': Timestamp('2006-09-30 00:00:00'), 'applied_weights_after_turnover_limit': {'^SP500TR': 0.27618314410113287, 'LT09TRUU': 0.4, 'XLB': 0.0, 'XLE': 0.0, 'XLF': 0.0, 'XLI': 0.0, 'XLK': 0.0, 'XLY': 0.0, 'XLP': 0.0, 'XLU': 0.0, 'XLV': 0.0, 'XAU': 0.3238168558988671}, 'turnover': 0.6404223237235356, 'transaction_cost': 0.0003202111618617678, 'gross_simple_return': -0.0037646728974964814, 'net_simple_return': -0.004084884059358249, 'window_size': 92, 'cash_weight': 0.0}</t>
  </si>
  <si>
    <t>{'Regime 0': 0.567823381447684, 'Regime 1': 0.37512935062929187, 'Regime 2': 0.05704726792302428}</t>
  </si>
  <si>
    <t>{'XLE': 0.08643532371046321, 'XAU': 0.1135646762895368}</t>
  </si>
  <si>
    <t>{'^SP500TR': 0.39999999999999997, 'LT09TRUU': 0.4, 'XLE': 0.08643532371046321, 'XAU': 0.1135646762895368}</t>
  </si>
  <si>
    <t>{'selected_satellites_str': 'XLE, XAU', 'candidate_id': 550, 'base_satellite_weights': {'XLE': 0.2, 'XAU': 0.2}, 'conviction_scalar': {'XLE': 0.43217661855231604, 'XAU': 0.567823381447684}, 'realized_date': Timestamp('2006-10-31 00:00:00'), 'applied_weights_after_turnover_limit': {'^SP500TR': 0.39999999999999997, 'LT09TRUU': 0.4, 'XLB': 0.0, 'XLE': 0.08643532371046321, 'XLF': 0.0, 'XLI': 0.0, 'XLK': 0.0, 'XLY': 0.0, 'XLP': 0.0, 'XLU': 0.0, 'XLV': 0.0, 'XAU': 0.1135646762895368}, 'turnover': 0.4205043592186606, 'transaction_cost': 0.0002102521796093303, 'gross_simple_return': 0.02050693920258698, 'net_simple_return': 0.02029668702297765, 'window_size': 93, 'cash_weight': 0.0}</t>
  </si>
  <si>
    <t>{'Regime 0': 2.0986758632546666e-07, 'Regime 1': 2.129361562514957e-21, 'Regime 2': 0.9999997901324137}</t>
  </si>
  <si>
    <t>{'XLE': 0.3999999160529655}</t>
  </si>
  <si>
    <t>{'^SP500TR': 0.2000000839470345, 'LT09TRUU': 0.4, 'XLE': 0.3999999160529655}</t>
  </si>
  <si>
    <t>{'selected_satellites_str': 'XLE', 'candidate_id': 16, 'base_satellite_weights': {'XLE': 0.4}, 'conviction_scalar': {'XLE': 0.9999997901324137}, 'realized_date': Timestamp('2006-11-30 00:00:00'), 'applied_weights_after_turnover_limit': {'^SP500TR': 0.2000000839470345, 'LT09TRUU': 0.4, 'XLB': 0.0, 'XLE': 0.3999999160529655, 'XLF': 0.0, 'XLI': 0.0, 'XLK': 0.0, 'XLY': 0.0, 'XLP': 0.0, 'XLU': 0.0, 'XLV': 0.0, 'XAU': 0.0}, 'turnover': 0.6271291846850046, 'transaction_cost': 0.00031356459234250226, 'gross_simple_return': 0.04273441420885007, 'net_simple_return': 0.042420849616507564, 'window_size': 94, 'cash_weight': 0.0}</t>
  </si>
  <si>
    <t>{'Regime 0': 0.9037679511916584, 'Regime 1': 0.02887229095864235, 'Regime 2': 0.06735975784969932}</t>
  </si>
  <si>
    <t>{'XLE': 0.014434807321251235, 'XAU': 0.2259419877979146}</t>
  </si>
  <si>
    <t>{'^SP500TR': 0.3596232048808341, 'LT09TRUU': 0.4, 'XLE': 0.014434807321251235, 'XAU': 0.2259419877979146}</t>
  </si>
  <si>
    <t>{'selected_satellites_str': 'XLE, XAU', 'candidate_id': 546, 'base_satellite_weights': {'XLE': 0.15, 'XAU': 0.25}, 'conviction_scalar': {'XLE': 0.09623204880834157, 'XAU': 0.9037679511916584}, 'realized_date': Timestamp('2006-12-31 00:00:00'), 'applied_weights_after_turnover_limit': {'^SP500TR': 0.3596232048808341, 'LT09TRUU': 0.4, 'XLB': 0.0, 'XLE': 0.014434807321251235, 'XLF': 0.0, 'XLI': 0.0, 'XLK': 0.0, 'XLY': 0.0, 'XLP': 0.0, 'XLU': 0.0, 'XLV': 0.0, 'XAU': 0.2259419877979146}, 'turnover': 0.7711302174634285, 'transaction_cost': 0.00038556510873171426, 'gross_simple_return': -0.0045603194221667965, 'net_simple_return': -0.004945884530898511, 'window_size': 95, 'cash_weight': 0.0}</t>
  </si>
  <si>
    <t>{'Regime 0': 2.1427897310923442e-14, 'Regime 1': 0.9203098348123914, 'Regime 2': 0.0796901651875872}</t>
  </si>
  <si>
    <t>{'XLE': 0.3999999999999915}</t>
  </si>
  <si>
    <t>{'^SP500TR': 0.2000000000000085, 'LT09TRUU': 0.4, 'XLE': 0.3999999999999915}</t>
  </si>
  <si>
    <t>{'selected_satellites_str': 'XLE', 'candidate_id': 16, 'base_satellite_weights': {'XLE': 0.4}, 'conviction_scalar': {'XLE': 0.9999999999999786}, 'realized_date': Timestamp('2007-01-31 00:00:00'), 'applied_weights_after_turnover_limit': {'^SP500TR': 0.2000000000000085, 'LT09TRUU': 0.4, 'XLB': 0.0, 'XLE': 0.3999999999999915, 'XLF': 0.0, 'XLI': 0.0, 'XLK': 0.0, 'XLY': 0.0, 'XLP': 0.0, 'XLU': 0.0, 'XLV': 0.0, 'XAU': 0.0}, 'turnover': 0.7711303853574805, 'transaction_cost': 0.00038556519267874024, 'gross_simple_return': -0.0021668092998420423, 'net_simple_return': -0.0025523744925207825, 'window_size': 96, 'cash_weight': 0.0}</t>
  </si>
  <si>
    <t>{'Regime 0': 0.937453197687074, 'Regime 1': 9.593804694019361e-05, 'Regime 2': 0.06245086426598578}</t>
  </si>
  <si>
    <t>{'XLE': 0.009382020346938896, 'XAU': 0.2343632994217685}</t>
  </si>
  <si>
    <t>{'^SP500TR': 0.3562546802312926, 'LT09TRUU': 0.4, 'XLE': 0.009382020346938896, 'XAU': 0.2343632994217685}</t>
  </si>
  <si>
    <t>{'selected_satellites_str': 'XLE, XAU', 'candidate_id': 546, 'base_satellite_weights': {'XLE': 0.15, 'XAU': 0.25}, 'conviction_scalar': {'XLE': 0.06254680231292598, 'XAU': 0.937453197687074}, 'realized_date': Timestamp('2007-02-28 00:00:00'), 'applied_weights_after_turnover_limit': {'^SP500TR': 0.3562546802312926, 'LT09TRUU': 0.4, 'XLB': 0.0, 'XLE': 0.009382020346938896, 'XLF': 0.0, 'XLI': 0.0, 'XLK': 0.0, 'XLY': 0.0, 'XLP': 0.0, 'XLU': 0.0, 'XLV': 0.0, 'XAU': 0.2343632994217685}, 'turnover': 0.7812359593061051, 'transaction_cost': 0.0003906179796530526, 'gross_simple_return': 0.0069849622744695885, 'net_simple_return': 0.006594344294816536, 'window_size': 97, 'cash_weight': 0.0}</t>
  </si>
  <si>
    <t>{'Regime 0': 5.060877640679187e-08, 'Regime 1': 0.9999999455443944, 'Regime 2': 3.846829276893621e-09}</t>
  </si>
  <si>
    <t>XLE, XLU</t>
  </si>
  <si>
    <t>{'XLE': 0.29999998481736706, 'XLU': 5.060877640679187e-09}</t>
  </si>
  <si>
    <t>{'^SP500TR': 0.30000001012175526, 'LT09TRUU': 0.4, 'XLE': 0.29999998481736706, 'XLU': 5.060877640679187e-09}</t>
  </si>
  <si>
    <t>{'selected_satellites_str': 'XLE, XLU', 'candidate_id': 499, 'base_satellite_weights': {'XLE': 0.3, 'XLU': 0.1}, 'conviction_scalar': {'XLE': 0.9999999493912236, 'XLU': 5.060877640679187e-08}, 'realized_date': Timestamp('2007-03-31 00:00:00'), 'applied_weights_after_turnover_limit': {'^SP500TR': 0.30000001012175526, 'LT09TRUU': 0.4, 'XLB': 0.0, 'XLE': 0.29999998481736706, 'XLF': 0.0, 'XLI': 0.0, 'XLK': 0.0, 'XLY': 0.0, 'XLP': 0.0, 'XLU': 5.060877640679187e-09, 'XLV': 0.0, 'XAU': 0.0}, 'turnover': 0.5812359390626116, 'transaction_cost': 0.00029061796953130584, 'gross_simple_return': 0.021299104544706567, 'net_simple_return': 0.02100848657517526, 'window_size': 98, 'cash_weight': 0.0}</t>
  </si>
  <si>
    <t>{'Regime 0': 1.525310757307754e-17, 'Regime 1': 1.0018548288507967e-16, 'Regime 2': 0.9999999999999999}</t>
  </si>
  <si>
    <t>{'XLE': 0.35, 'XLU': 7.626553786538771e-19}</t>
  </si>
  <si>
    <t>{'^SP500TR': 0.25, 'LT09TRUU': 0.4, 'XLE': 0.35, 'XLU': 7.626553786538771e-19}</t>
  </si>
  <si>
    <t>{'selected_satellites_str': 'XLE, XLU', 'candidate_id': 500, 'base_satellite_weights': {'XLE': 0.35, 'XLU': 0.05}, 'conviction_scalar': {'XLE': 1.0, 'XLU': 1.525310757307754e-17}, 'realized_date': Timestamp('2007-04-30 00:00:00'), 'applied_weights_after_turnover_limit': {'^SP500TR': 0.25, 'LT09TRUU': 0.4, 'XLB': 0.0, 'XLE': 0.35, 'XLF': 0.0, 'XLI': 0.0, 'XLK': 0.0, 'XLY': 0.0, 'XLP': 0.0, 'XLU': 7.626553786538771e-19, 'XLV': 0.0, 'XAU': 0.0}, 'turnover': 0.10000003036526581, 'transaction_cost': 5.0000015182632904e-05, 'gross_simple_return': 0.03113142871472338, 'net_simple_return': 0.031081428699540746, 'window_size': 99, 'cash_weight': 0.0}</t>
  </si>
  <si>
    <t>{'Regime 0': 8.944073691977811e-27, 'Regime 1': 0.9394101553920192, 'Regime 2': 0.06058984460798081}</t>
  </si>
  <si>
    <t>{'XLE': 0.4}</t>
  </si>
  <si>
    <t>{'^SP500TR': 0.19999999999999996, 'LT09TRUU': 0.4, 'XLE': 0.4}</t>
  </si>
  <si>
    <t>{'selected_satellites_str': 'XLE', 'candidate_id': 16, 'base_satellite_weights': {'XLE': 0.4}, 'conviction_scalar': {'XLE': 1.0}, 'realized_date': Timestamp('2007-05-31 00:00:00'), 'applied_weights_after_turnover_limit': {'^SP500TR': 0.19999999999999996, 'LT09TRUU': 0.4, 'XLB': 0.0, 'XLE': 0.4, 'XLF': 0.0, 'XLI': 0.0, 'XLK': 0.0, 'XLY': 0.0, 'XLP': 0.0, 'XLU': 0.0, 'XLV': 0.0, 'XAU': 0.0}, 'turnover': 0.10000000000000009, 'transaction_cost': 5.000000000000004e-05, 'gross_simple_return': 0.03139093125498365, 'net_simple_return': 0.03134093125498365, 'window_size': 100, 'cash_weight': 0.0}</t>
  </si>
  <si>
    <t>{'Regime 0': 2.41781392304956e-11, 'Regime 1': 0.9999999999739472, 'Regime 2': 1.8747127519111452e-12}</t>
  </si>
  <si>
    <t>{'XLE': 0.39999999999032876}</t>
  </si>
  <si>
    <t>{'^SP500TR': 0.20000000000967122, 'LT09TRUU': 0.4, 'XLE': 0.39999999999032876}</t>
  </si>
  <si>
    <t>{'selected_satellites_str': 'XLE', 'candidate_id': 16, 'base_satellite_weights': {'XLE': 0.4}, 'conviction_scalar': {'XLE': 0.9999999999758219}, 'realized_date': Timestamp('2007-06-30 00:00:00'), 'applied_weights_after_turnover_limit': {'^SP500TR': 0.20000000000967122, 'LT09TRUU': 0.4, 'XLB': 0.0, 'XLE': 0.39999999999032876, 'XLF': 0.0, 'XLI': 0.0, 'XLK': 0.0, 'XLY': 0.0, 'XLP': 0.0, 'XLU': 0.0, 'XLV': 0.0, 'XAU': 0.0}, 'turnover': 1.9342527579624402e-11, 'transaction_cost': 9.671263789812202e-15, 'gross_simple_return': -1.0422385084695264e-05, 'net_simple_return': -1.0422385094366527e-05, 'window_size': 101, 'cash_weight': 0.0}</t>
  </si>
  <si>
    <t>{'Regime 0': 5.382820362636772e-17, 'Regime 1': 0.9999999999999996, 'Regime 2': 5.011286314191541e-16}</t>
  </si>
  <si>
    <t>{'selected_satellites_str': 'XLE', 'candidate_id': 16, 'base_satellite_weights': {'XLE': 0.4}, 'conviction_scalar': {'XLE': 1.0}, 'realized_date': Timestamp('2007-07-31 00:00:00'), 'applied_weights_after_turnover_limit': {'^SP500TR': 0.19999999999999996, 'LT09TRUU': 0.4, 'XLB': 0.0, 'XLE': 0.4, 'XLF': 0.0, 'XLI': 0.0, 'XLK': 0.0, 'XLY': 0.0, 'XLP': 0.0, 'XLU': 0.0, 'XLV': 0.0, 'XAU': 0.0}, 'turnover': 1.9342527579624402e-11, 'transaction_cost': 9.671263789812202e-15, 'gross_simple_return': 0.0023124883426019916, 'net_simple_return': 0.0023124883425923205, 'window_size': 102, 'cash_weight': 0.0}</t>
  </si>
  <si>
    <t>{'Regime 0': 0.048921396475259595, 'Regime 1': 0.06826254929058193, 'Regime 2': 0.8828160542341585}</t>
  </si>
  <si>
    <t>{'XLB': 0.38043144140989615}</t>
  </si>
  <si>
    <t>{'^SP500TR': 0.21956855859010382, 'LT09TRUU': 0.4, 'XLB': 0.38043144140989615}</t>
  </si>
  <si>
    <t>{'selected_satellites_str': 'XLB', 'candidate_id': 8, 'base_satellite_weights': {'XLB': 0.4}, 'conviction_scalar': {'XLB': 0.9510786035247404}, 'realized_date': Timestamp('2007-08-31 00:00:00'), 'applied_weights_after_turnover_limit': {'^SP500TR': 0.21956855859010382, 'LT09TRUU': 0.4, 'XLB': 0.38043144140989615, 'XLE': 0.0, 'XLF': 0.0, 'XLI': 0.0, 'XLK': 0.0, 'XLY': 0.0, 'XLP': 0.0, 'XLU': 0.0, 'XLV': 0.0, 'XAU': 0.0}, 'turnover': 0.8, 'transaction_cost': 0.0004, 'gross_simple_return': 0.00918316830330667, 'net_simple_return': 0.00878316830330667, 'window_size': 103, 'cash_weight': 0.0}</t>
  </si>
  <si>
    <t>{'Regime 0': 0.10192351138029984, 'Regime 1': 0.579741126440266, 'Regime 2': 0.3183353621794342}</t>
  </si>
  <si>
    <t>{'XLE': 0.35923059544788005}</t>
  </si>
  <si>
    <t>{'^SP500TR': 0.24076940455211993, 'LT09TRUU': 0.4, 'XLE': 0.35923059544788005}</t>
  </si>
  <si>
    <t>{'selected_satellites_str': 'XLE', 'candidate_id': 16, 'base_satellite_weights': {'XLE': 0.4}, 'conviction_scalar': {'XLE': 0.8980764886197001}, 'realized_date': Timestamp('2007-09-30 00:00:00'), 'applied_weights_after_turnover_limit': {'^SP500TR': 0.24076940455211993, 'LT09TRUU': 0.4, 'XLB': 0.0, 'XLE': 0.35923059544788005, 'XLF': 0.0, 'XLI': 0.0, 'XLK': 0.0, 'XLY': 0.0, 'XLP': 0.0, 'XLU': 0.0, 'XLV': 0.0, 'XAU': 0.0}, 'turnover': 0.7608628828197923, 'transaction_cost': 0.0003804314414098962, 'gross_simple_return': 0.036519623659619055, 'net_simple_return': 0.03613919221820916, 'window_size': 104, 'cash_weight': 0.0}</t>
  </si>
  <si>
    <t>{'Regime 0': 0.5788307708606426, 'Regime 1': 0.3537802319320309, 'Regime 2': 0.06738899720732659}</t>
  </si>
  <si>
    <t>{'XLE': 0.14740923019877508, 'XLU': 0.028941538543032132}</t>
  </si>
  <si>
    <t>{'^SP500TR': 0.42364923125819276, 'LT09TRUU': 0.4, 'XLE': 0.14740923019877508, 'XLU': 0.028941538543032132}</t>
  </si>
  <si>
    <t>{'selected_satellites_str': 'XLE, XLU', 'candidate_id': 500, 'base_satellite_weights': {'XLE': 0.35, 'XLU': 0.05}, 'conviction_scalar': {'XLE': 0.4211692291393574, 'XLU': 0.5788307708606426}, 'realized_date': Timestamp('2007-10-31 00:00:00'), 'applied_weights_after_turnover_limit': {'^SP500TR': 0.42364923125819276, 'LT09TRUU': 0.4, 'XLB': 0.0, 'XLE': 0.14740923019877508, 'XLF': 0.0, 'XLI': 0.0, 'XLK': 0.0, 'XLY': 0.0, 'XLP': 0.0, 'XLU': 0.028941538543032132, 'XLV': 0.0, 'XAU': 0.0}, 'turnover': 0.42364273049820994, 'transaction_cost': 0.00021182136524910497, 'gross_simple_return': 0.016760434082377325, 'net_simple_return': 0.01654861271712822, 'window_size': 105, 'cash_weight': 0.0}</t>
  </si>
  <si>
    <t>{'Regime 0': 0.5134655472235113, 'Regime 1': 0.2948336929187759, 'Regime 2': 0.1917007598577127}</t>
  </si>
  <si>
    <t>{'XLE': 0.19461378111059546}</t>
  </si>
  <si>
    <t>{'^SP500TR': 0.4053862188894045, 'LT09TRUU': 0.4, 'XLE': 0.19461378111059546}</t>
  </si>
  <si>
    <t>{'selected_satellites_str': 'XLE', 'candidate_id': 16, 'base_satellite_weights': {'XLE': 0.4}, 'conviction_scalar': {'XLE': 0.48653445277648866}, 'realized_date': Timestamp('2007-11-30 00:00:00'), 'applied_weights_after_turnover_limit': {'^SP500TR': 0.4053862188894045, 'LT09TRUU': 0.4, 'XLB': 0.0, 'XLE': 0.19461378111059546, 'XLF': 0.0, 'XLI': 0.0, 'XLK': 0.0, 'XLY': 0.0, 'XLP': 0.0, 'XLU': 0.0, 'XLV': 0.0, 'XAU': 0.0}, 'turnover': 0.09440910182364076, 'transaction_cost': 4.7204550911820385e-05, 'gross_simple_return': -0.010814445023806817, 'net_simple_return': -0.010861649574718637, 'window_size': 106, 'cash_weight': 0.0}</t>
  </si>
  <si>
    <t>{'Regime 0': 0.018205342653983186, 'Regime 1': 0.9773978806211266, 'Regime 2': 0.00439677672489014}</t>
  </si>
  <si>
    <t>{'XLE': 0.3927178629384067}</t>
  </si>
  <si>
    <t>{'^SP500TR': 0.20728213706159326, 'LT09TRUU': 0.4, 'XLE': 0.3927178629384067}</t>
  </si>
  <si>
    <t>{'selected_satellites_str': 'XLE', 'candidate_id': 16, 'base_satellite_weights': {'XLE': 0.4}, 'conviction_scalar': {'XLE': 0.9817946573460168}, 'realized_date': Timestamp('2007-12-31 00:00:00'), 'applied_weights_after_turnover_limit': {'^SP500TR': 0.20728213706159326, 'LT09TRUU': 0.4, 'XLB': 0.0, 'XLE': 0.3927178629384067, 'XLF': 0.0, 'XLI': 0.0, 'XLK': 0.0, 'XLY': 0.0, 'XLP': 0.0, 'XLU': 0.0, 'XLV': 0.0, 'XAU': 0.0}, 'turnover': 0.3962081636556225, 'transaction_cost': 0.00019810408182781126, 'gross_simple_return': 0.030479992505750106, 'net_simple_return': 0.030281888423922293, 'window_size': 107, 'cash_weight': 0.0}</t>
  </si>
  <si>
    <t>{'Regime 0': 0.16411627537119577, 'Regime 1': 0.42770407772798397, 'Regime 2': 0.40817964690082015}</t>
  </si>
  <si>
    <t>{'XLE': 0.3343534898515217}</t>
  </si>
  <si>
    <t>{'^SP500TR': 0.2656465101484783, 'LT09TRUU': 0.4, 'XLE': 0.3343534898515217}</t>
  </si>
  <si>
    <t>{'selected_satellites_str': 'XLE', 'candidate_id': 16, 'base_satellite_weights': {'XLE': 0.4}, 'conviction_scalar': {'XLE': 0.8358837246288042}, 'realized_date': Timestamp('2008-01-31 00:00:00'), 'applied_weights_after_turnover_limit': {'^SP500TR': 0.2656465101484783, 'LT09TRUU': 0.4, 'XLB': 0.0, 'XLE': 0.3343534898515217, 'XLF': 0.0, 'XLI': 0.0, 'XLK': 0.0, 'XLY': 0.0, 'XLP': 0.0, 'XLU': 0.0, 'XLV': 0.0, 'XAU': 0.0}, 'turnover': 0.11672874617377005, 'transaction_cost': 5.836437308688503e-05, 'gross_simple_return': -0.04595968322014517, 'net_simple_return': -0.04601804759323205, 'window_size': 108, 'cash_weight': 0.0}</t>
  </si>
  <si>
    <t>{'Regime 0': 0.042950312146094356, 'Regime 1': 0.93032363644287, 'Regime 2': 0.026726051411035685}</t>
  </si>
  <si>
    <t>{'XLU': 0.017180124858437743}</t>
  </si>
  <si>
    <t>{'^SP500TR': 0.5828198751415622, 'LT09TRUU': 0.4, 'XLU': 0.017180124858437743}</t>
  </si>
  <si>
    <t>{'selected_satellites_str': 'XLU', 'candidate_id': 64, 'base_satellite_weights': {'XLU': 0.4}, 'conviction_scalar': {'XLU': 0.042950312146094356}, 'realized_date': Timestamp('2008-02-29 00:00:00'), 'applied_weights_after_turnover_limit': {'^SP500TR': 0.5828198751415622, 'LT09TRUU': 0.4, 'XLB': 0.0, 'XLE': 0.0, 'XLF': 0.0, 'XLI': 0.0, 'XLK': 0.0, 'XLY': 0.0, 'XLP': 0.0, 'XLU': 0.017180124858437743, 'XLV': 0.0, 'XAU': 0.0}, 'turnover': 0.6687069797030434, 'transaction_cost': 0.0003343534898515217, 'gross_simple_return': -0.014384826464764616, 'net_simple_return': -0.014719179954616137, 'window_size': 109, 'cash_weight': 0.0}</t>
  </si>
  <si>
    <t>{'Regime 0': 0.9470701212812451, 'Regime 1': 3.722694394461916e-05, 'Regime 2': 0.0528926517748103}</t>
  </si>
  <si>
    <t>{'XLE': 0.02117195148750195}</t>
  </si>
  <si>
    <t>{'^SP500TR': 0.578828048512498, 'LT09TRUU': 0.4, 'XLE': 0.02117195148750195}</t>
  </si>
  <si>
    <t>{'selected_satellites_str': 'XLE', 'candidate_id': 16, 'base_satellite_weights': {'XLE': 0.4}, 'conviction_scalar': {'XLE': 0.052929878718754875}, 'realized_date': Timestamp('2008-03-31 00:00:00'), 'applied_weights_after_turnover_limit': {'^SP500TR': 0.578828048512498, 'LT09TRUU': 0.4, 'XLB': 0.0, 'XLE': 0.02117195148750195, 'XLF': 0.0, 'XLI': 0.0, 'XLK': 0.0, 'XLY': 0.0, 'XLP': 0.0, 'XLU': 0.0, 'XLV': 0.0, 'XAU': 0.0}, 'turnover': 0.04234390297500386, 'transaction_cost': 2.117195148750193e-05, 'gross_simple_return': 0.002268715236571171, 'net_simple_return': 0.002247543285083669, 'window_size': 110, 'cash_weight': 0.0}</t>
  </si>
  <si>
    <t>{'Regime 0': 0.5331106822507728, 'Regime 1': 0.12736617572788164, 'Regime 2': 0.3395231420213456}</t>
  </si>
  <si>
    <t>{'XLE': 0.18675572709969088}</t>
  </si>
  <si>
    <t>{'^SP500TR': 0.4132442729003091, 'LT09TRUU': 0.4, 'XLE': 0.18675572709969088}</t>
  </si>
  <si>
    <t>{'selected_satellites_str': 'XLE', 'candidate_id': 16, 'base_satellite_weights': {'XLE': 0.4}, 'conviction_scalar': {'XLE': 0.46688931774922715}, 'realized_date': Timestamp('2008-04-30 00:00:00'), 'applied_weights_after_turnover_limit': {'^SP500TR': 0.4132442729003091, 'LT09TRUU': 0.4, 'XLB': 0.0, 'XLE': 0.18675572709969088, 'XLF': 0.0, 'XLI': 0.0, 'XLK': 0.0, 'XLY': 0.0, 'XLP': 0.0, 'XLU': 0.0, 'XLV': 0.0, 'XAU': 0.0}, 'turnover': 0.3311675512243779, 'transaction_cost': 0.00016558377561218897, 'gross_simple_return': 0.02874857985020553, 'net_simple_return': 0.02858299607459334, 'window_size': 111, 'cash_weight': 0.0}</t>
  </si>
  <si>
    <t>{'Regime 0': 0.0011008713877823468, 'Regime 1': 0.6845135277615704, 'Regime 2': 0.3143856008506472}</t>
  </si>
  <si>
    <t>{'XLE': 0.3995596514448871}</t>
  </si>
  <si>
    <t>{'^SP500TR': 0.2004403485551129, 'LT09TRUU': 0.4, 'XLE': 0.3995596514448871}</t>
  </si>
  <si>
    <t>{'selected_satellites_str': 'XLE', 'candidate_id': 16, 'base_satellite_weights': {'XLE': 0.4}, 'conviction_scalar': {'XLE': 0.9988991286122176}, 'realized_date': Timestamp('2008-05-31 00:00:00'), 'applied_weights_after_turnover_limit': {'^SP500TR': 0.2004403485551129, 'LT09TRUU': 0.4, 'XLB': 0.0, 'XLE': 0.3995596514448871, 'XLF': 0.0, 'XLI': 0.0, 'XLK': 0.0, 'XLY': 0.0, 'XLP': 0.0, 'XLU': 0.0, 'XLV': 0.0, 'XAU': 0.0}, 'turnover': 0.42560784869039237, 'transaction_cost': 0.00021280392434519618, 'gross_simple_return': 0.015990170734763918, 'net_simple_return': 0.015777366810418723, 'window_size': 112, 'cash_weight': 0.0}</t>
  </si>
  <si>
    <t>{'Regime 0': 0.4569989472512215, 'Regime 1': 0.37445196226482397, 'Regime 2': 0.1685490904839545}</t>
  </si>
  <si>
    <t>{'XLE': 0.21720042109951143}</t>
  </si>
  <si>
    <t>{'^SP500TR': 0.38279957890048855, 'LT09TRUU': 0.4, 'XLE': 0.21720042109951143}</t>
  </si>
  <si>
    <t>{'selected_satellites_str': 'XLE', 'candidate_id': 16, 'base_satellite_weights': {'XLE': 0.4}, 'conviction_scalar': {'XLE': 0.5430010527487785}, 'realized_date': Timestamp('2008-06-30 00:00:00'), 'applied_weights_after_turnover_limit': {'^SP500TR': 0.38279957890048855, 'LT09TRUU': 0.4, 'XLB': 0.0, 'XLE': 0.21720042109951143, 'XLF': 0.0, 'XLI': 0.0, 'XLK': 0.0, 'XLY': 0.0, 'XLP': 0.0, 'XLU': 0.0, 'XLV': 0.0, 'XAU': 0.0}, 'turnover': 0.3647184606907513, 'transaction_cost': 0.00018235923034537566, 'gross_simple_return': -0.022851585529893338, 'net_simple_return': -0.023033944760238713, 'window_size': 113, 'cash_weight': 0.0}</t>
  </si>
  <si>
    <t>{'Regime 0': 0.0024433420546262205, 'Regime 1': 0.8867960659105909, 'Regime 2': 0.11076059203478295}</t>
  </si>
  <si>
    <t>{'XLE': 0.3990226631781495}</t>
  </si>
  <si>
    <t>{'^SP500TR': 0.20097733682185048, 'LT09TRUU': 0.4, 'XLE': 0.3990226631781495}</t>
  </si>
  <si>
    <t>{'selected_satellites_str': 'XLE', 'candidate_id': 16, 'base_satellite_weights': {'XLE': 0.4}, 'conviction_scalar': {'XLE': 0.9975566579453737}, 'realized_date': Timestamp('2008-07-31 00:00:00'), 'applied_weights_after_turnover_limit': {'^SP500TR': 0.20097733682185048, 'LT09TRUU': 0.4, 'XLB': 0.0, 'XLE': 0.3990226631781495, 'XLF': 0.0, 'XLI': 0.0, 'XLK': 0.0, 'XLY': 0.0, 'XLP': 0.0, 'XLU': 0.0, 'XLV': 0.0, 'XAU': 0.0}, 'turnover': 0.3636444841572761, 'transaction_cost': 0.00018182224207863805, 'gross_simple_return': -0.06620855286985056, 'net_simple_return': -0.06639037511192919, 'window_size': 114, 'cash_weight': 0.0}</t>
  </si>
  <si>
    <t>{'Regime 0': 0.07465826247275881, 'Regime 1': 0.4764947746830534, 'Regime 2': 0.4488469628441879}</t>
  </si>
  <si>
    <t>{'XLE': 0.3701366950108965}</t>
  </si>
  <si>
    <t>{'^SP500TR': 0.22986330498910346, 'LT09TRUU': 0.4, 'XLE': 0.3701366950108965}</t>
  </si>
  <si>
    <t>{'selected_satellites_str': 'XLE', 'candidate_id': 16, 'base_satellite_weights': {'XLE': 0.4}, 'conviction_scalar': {'XLE': 0.9253417375272412}, 'realized_date': Timestamp('2008-08-31 00:00:00'), 'applied_weights_after_turnover_limit': {'^SP500TR': 0.22986330498910346, 'LT09TRUU': 0.4, 'XLB': 0.0, 'XLE': 0.3701366950108965, 'XLF': 0.0, 'XLI': 0.0, 'XLK': 0.0, 'XLY': 0.0, 'XLP': 0.0, 'XLU': 0.0, 'XLV': 0.0, 'XAU': 0.0}, 'turnover': 0.05777193633450595, 'transaction_cost': 2.8885968167252974e-05, 'gross_simple_return': 0.011335105333860588, 'net_simple_return': 0.011306219365693336, 'window_size': 115, 'cash_weight': 0.0}</t>
  </si>
  <si>
    <t>{'Regime 0': 0.15568010301233032, 'Regime 1': 0.038268692580950434, 'Regime 2': 0.8060512044067192}</t>
  </si>
  <si>
    <t>{'XLE': 0.3377279587950679}</t>
  </si>
  <si>
    <t>{'^SP500TR': 0.2622720412049321, 'LT09TRUU': 0.4, 'XLE': 0.3377279587950679}</t>
  </si>
  <si>
    <t>{'selected_satellites_str': 'XLE', 'candidate_id': 16, 'base_satellite_weights': {'XLE': 0.4}, 'conviction_scalar': {'XLE': 0.8443198969876697}, 'realized_date': Timestamp('2008-09-30 00:00:00'), 'applied_weights_after_turnover_limit': {'^SP500TR': 0.2622720412049321, 'LT09TRUU': 0.4, 'XLB': 0.0, 'XLE': 0.3377279587950679, 'XLF': 0.0, 'XLI': 0.0, 'XLK': 0.0, 'XLY': 0.0, 'XLP': 0.0, 'XLU': 0.0, 'XLV': 0.0, 'XAU': 0.0}, 'turnover': 0.06481747243165725, 'transaction_cost': 3.240873621582863e-05, 'gross_simple_return': -0.07616503383574384, 'net_simple_return': -0.07619744257195966, 'window_size': 116, 'cash_weight': 0.0}</t>
  </si>
  <si>
    <t>{'Regime 0': 2.4901753766334505e-09, 'Regime 1': 0.016534946045444525, 'Regime 2': 0.98346505146438}</t>
  </si>
  <si>
    <t>{'XLE': 0.39999999900392985}</t>
  </si>
  <si>
    <t>{'^SP500TR': 0.20000000099607013, 'LT09TRUU': 0.4, 'XLE': 0.39999999900392985}</t>
  </si>
  <si>
    <t>{'selected_satellites_str': 'XLE', 'candidate_id': 16, 'base_satellite_weights': {'XLE': 0.4}, 'conviction_scalar': {'XLE': 0.9999999975098246}, 'realized_date': Timestamp('2008-10-31 00:00:00'), 'applied_weights_after_turnover_limit': {'^SP500TR': 0.20000000099607013, 'LT09TRUU': 0.4, 'XLB': 0.0, 'XLE': 0.39999999900392985, 'XLF': 0.0, 'XLI': 0.0, 'XLK': 0.0, 'XLY': 0.0, 'XLP': 0.0, 'XLU': 0.0, 'XLV': 0.0, 'XAU': 0.0}, 'turnover': 0.12454408041772391, 'transaction_cost': 6.227204020886196e-05, 'gross_simple_return': -0.11756966062332944, 'net_simple_return': -0.1176319326635383, 'window_size': 117, 'cash_weight': 0.0}</t>
  </si>
  <si>
    <t>{'Regime 0': 0.3336889591080119, 'Regime 1': 0.6663079435921853, 'Regime 2': 3.097299802784533e-06}</t>
  </si>
  <si>
    <t>{'XLE': 0.09994665613379822, 'XAU': 0.08342223977700297}</t>
  </si>
  <si>
    <t>{'^SP500TR': 0.4166311040891988, 'LT09TRUU': 0.4, 'XLE': 0.09994665613379822, 'XAU': 0.08342223977700297}</t>
  </si>
  <si>
    <t>{'selected_satellites_str': 'XLE, XAU', 'candidate_id': 546, 'base_satellite_weights': {'XLE': 0.15, 'XAU': 0.25}, 'conviction_scalar': {'XLE': 0.6663110408919881, 'XAU': 0.3336889591080119}, 'realized_date': Timestamp('2008-11-30 00:00:00'), 'applied_weights_after_turnover_limit': {'^SP500TR': 0.4166311040891988, 'LT09TRUU': 0.4, 'XLB': 0.0, 'XLE': 0.09994665613379822, 'XLF': 0.0, 'XLI': 0.0, 'XLK': 0.0, 'XLY': 0.0, 'XLP': 0.0, 'XLU': 0.0, 'XLV': 0.0, 'XAU': 0.08342223977700297}, 'turnover': 0.6001066857402633, 'transaction_cost': 0.00030005334287013164, 'gross_simple_return': 0.00776236779824251, 'net_simple_return': 0.007462314455372379, 'window_size': 118, 'cash_weight': 0.0}</t>
  </si>
  <si>
    <t>{'Regime 0': 0.999999959018818, 'Regime 1': 2.5303308405262666e-08, 'Regime 2': 1.5677873636868346e-08}</t>
  </si>
  <si>
    <t>{'XAU': 0.3999999836075272}</t>
  </si>
  <si>
    <t>{'^SP500TR': 0.20000001639247278, 'LT09TRUU': 0.4, 'XAU': 0.3999999836075272}</t>
  </si>
  <si>
    <t>{'selected_satellites_str': 'XAU', 'candidate_id': 80, 'base_satellite_weights': {'XAU': 0.4}, 'conviction_scalar': {'XAU': 0.999999959018818}, 'realized_date': Timestamp('2008-12-31 00:00:00'), 'applied_weights_after_turnover_limit': {'^SP500TR': 0.20000001639247278, 'LT09TRUU': 0.4, 'XLB': 0.0, 'XLE': 0.0, 'XLF': 0.0, 'XLI': 0.0, 'XLK': 0.0, 'XLY': 0.0, 'XLP': 0.0, 'XLU': 0.0, 'XLV': 0.0, 'XAU': 0.3999999836075272}, 'turnover': 0.6331554876610485, 'transaction_cost': 0.0003165777438305242, 'gross_simple_return': 0.05396890847230914, 'net_simple_return': 0.053652330728478616, 'window_size': 119, 'cash_weight': 0.0}</t>
  </si>
  <si>
    <t>{'Regime 0': 0.9999984411929494, 'Regime 1': 4.163203778457899e-08, 'Regime 2': 1.5171750126699762e-06}</t>
  </si>
  <si>
    <t>{'XAU': 0.3999993764771798}</t>
  </si>
  <si>
    <t>{'^SP500TR': 0.20000062352282016, 'LT09TRUU': 0.4, 'XAU': 0.3999993764771798}</t>
  </si>
  <si>
    <t>{'selected_satellites_str': 'XAU', 'candidate_id': 80, 'base_satellite_weights': {'XAU': 0.4}, 'conviction_scalar': {'XAU': 0.9999984411929494}, 'realized_date': Timestamp('2009-01-31 00:00:00'), 'applied_weights_after_turnover_limit': {'^SP500TR': 0.20000062352282016, 'LT09TRUU': 0.4, 'XLB': 0.0, 'XLE': 0.0, 'XLF': 0.0, 'XLI': 0.0, 'XLK': 0.0, 'XLY': 0.0, 'XLP': 0.0, 'XLU': 0.0, 'XLV': 0.0, 'XAU': 0.3999993764771798}, 'turnover': 1.214260694770708e-06, 'transaction_cost': 6.07130347385354e-10, 'gross_simple_return': -0.013271369411773223, 'net_simple_return': -0.01327137001890357, 'window_size': 120, 'cash_weight': 0.0}</t>
  </si>
  <si>
    <t>{'Regime 0': 0.9999999999999859, 'Regime 1': 1.4808967320125876e-17, 'Regime 2': 1.4137457126271628e-14}</t>
  </si>
  <si>
    <t>{'XAU': 0.39999999999999436}</t>
  </si>
  <si>
    <t>{'^SP500TR': 0.20000000000000562, 'LT09TRUU': 0.4, 'XAU': 0.39999999999999436}</t>
  </si>
  <si>
    <t>{'selected_satellites_str': 'XAU', 'candidate_id': 80, 'base_satellite_weights': {'XAU': 0.4}, 'conviction_scalar': {'XAU': 0.9999999999999859}, 'realized_date': Timestamp('2009-02-28 00:00:00'), 'applied_weights_after_turnover_limit': {'^SP500TR': 0.20000000000000562, 'LT09TRUU': 0.4, 'XLB': 0.0, 'XLE': 0.0, 'XLF': 0.0, 'XLI': 0.0, 'XLK': 0.0, 'XLY': 0.0, 'XLP': 0.0, 'XLU': 0.0, 'XLV': 0.0, 'XAU': 0.39999999999999436}, 'turnover': 1.2470456290936127e-06, 'transaction_cost': 6.235228145468064e-10, 'gross_simple_return': -0.019319460109426277, 'net_simple_return': -0.01931946073294909, 'window_size': 121, 'cash_weight': 0.0}</t>
  </si>
  <si>
    <t>{'Regime 0': 0.9999999999996042, 'Regime 1': 1.6201336528386348e-14, 'Regime 2': 3.796073734698762e-13}</t>
  </si>
  <si>
    <t>{'XAU': 0.3999999999998417}</t>
  </si>
  <si>
    <t>{'^SP500TR': 0.20000000000015827, 'LT09TRUU': 0.4, 'XAU': 0.3999999999998417}</t>
  </si>
  <si>
    <t>{'selected_satellites_str': 'XAU', 'candidate_id': 80, 'base_satellite_weights': {'XAU': 0.4}, 'conviction_scalar': {'XAU': 0.9999999999996042}, 'realized_date': Timestamp('2009-03-31 00:00:00'), 'applied_weights_after_turnover_limit': {'^SP500TR': 0.20000000000015827, 'LT09TRUU': 0.4, 'XLB': 0.0, 'XLE': 0.0, 'XLF': 0.0, 'XLI': 0.0, 'XLK': 0.0, 'XLY': 0.0, 'XLP': 0.0, 'XLU': 0.0, 'XLV': 0.0, 'XAU': 0.3999999999998417}, 'turnover': 3.0531133177191805e-13, 'transaction_cost': 1.5265566588595902e-16, 'gross_simple_return': 0.020958010126350794, 'net_simple_return': 0.02095801012635064, 'window_size': 122, 'cash_weight': 0.0}</t>
  </si>
  <si>
    <t>{'Regime 0': 3.0399566419171137e-09, 'Regime 1': 0.9999999969542446, 'Regime 2': 5.798889554073439e-12}</t>
  </si>
  <si>
    <t>{'XAU': 1.2159826567668455e-09}</t>
  </si>
  <si>
    <t>{'^SP500TR': 0.5999999987840173, 'LT09TRUU': 0.4, 'XAU': 1.2159826567668455e-09}</t>
  </si>
  <si>
    <t>{'selected_satellites_str': 'XAU', 'candidate_id': 80, 'base_satellite_weights': {'XAU': 0.4}, 'conviction_scalar': {'XAU': 3.0399566419171137e-09}, 'realized_date': Timestamp('2009-04-30 00:00:00'), 'applied_weights_after_turnover_limit': {'^SP500TR': 0.5999999987840173, 'LT09TRUU': 0.4, 'XLB': 0.0, 'XLE': 0.0, 'XLF': 0.0, 'XLI': 0.0, 'XLK': 0.0, 'XLY': 0.0, 'XLP': 0.0, 'XLU': 0.0, 'XLV': 0.0, 'XAU': 1.2159826567668455e-09}, 'turnover': 0.7999999975677181, 'transaction_cost': 0.00039999999878385906, 'gross_simple_return': 0.04468419698704246, 'net_simple_return': 0.0442841969882586, 'window_size': 123, 'cash_weight': 0.0}</t>
  </si>
  <si>
    <t>{'Regime 0': 1.0045112287778017e-21, 'Regime 1': 1.0, 'Regime 2': 1.4378051782005037e-22}</t>
  </si>
  <si>
    <t>{'XAU': 4.0180449151112073e-22}</t>
  </si>
  <si>
    <t>{'^SP500TR': 0.6, 'LT09TRUU': 0.4, 'XAU': 4.0180449151112073e-22}</t>
  </si>
  <si>
    <t>{'selected_satellites_str': 'XAU', 'candidate_id': 80, 'base_satellite_weights': {'XAU': 0.4}, 'conviction_scalar': {'XAU': 1.0045112287778017e-21}, 'realized_date': Timestamp('2009-05-31 00:00:00'), 'applied_weights_after_turnover_limit': {'^SP500TR': 0.6, 'LT09TRUU': 0.4, 'XLB': 0.0, 'XLE': 0.0, 'XLF': 0.0, 'XLI': 0.0, 'XLK': 0.0, 'XLY': 0.0, 'XLP': 0.0, 'XLU': 0.0, 'XLV': 0.0, 'XAU': 4.0180449151112073e-22}, 'turnover': 2.4319653046727875e-09, 'transaction_cost': 1.2159826523363938e-12, 'gross_simple_return': 0.024762573659600343, 'net_simple_return': 0.02476257365838436, 'window_size': 124, 'cash_weight': 0.0}</t>
  </si>
  <si>
    <t>{'Regime 0': 2.3700199221673625e-08, 'Regime 1': 4.214062413977262e-08, 'Regime 2': 0.9999999341591767}</t>
  </si>
  <si>
    <t>{'XLE': 0.19999999525996015, 'XAU': 4.740039844334725e-09}</t>
  </si>
  <si>
    <t>{'^SP500TR': 0.4, 'LT09TRUU': 0.4, 'XLE': 0.19999999525996015, 'XAU': 4.740039844334725e-09}</t>
  </si>
  <si>
    <t>{'selected_satellites_str': 'XLE, XAU', 'candidate_id': 550, 'base_satellite_weights': {'XLE': 0.2, 'XAU': 0.2}, 'conviction_scalar': {'XLE': 0.9999999762998008, 'XAU': 2.3700199221673625e-08}, 'realized_date': Timestamp('2009-06-30 00:00:00'), 'applied_weights_after_turnover_limit': {'^SP500TR': 0.4, 'LT09TRUU': 0.4, 'XLB': 0.0, 'XLE': 0.19999999525996015, 'XLF': 0.0, 'XLI': 0.0, 'XLK': 0.0, 'XLY': 0.0, 'XLP': 0.0, 'XLU': 0.0, 'XLV': 0.0, 'XAU': 4.740039844334725e-09}, 'turnover': 0.39999999999999997, 'transaction_cost': 0.00019999999999999998, 'gross_simple_return': -0.014019061838213305, 'net_simple_return': -0.014219061838213306, 'window_size': 125, 'cash_weight': 0.0}</t>
  </si>
  <si>
    <t>{'Regime 0': 0.01986839345613356, 'Regime 1': 0.9747281525468938, 'Regime 2': 0.0054034539969725764}</t>
  </si>
  <si>
    <t>{'XLE': 0.1960263213087733, 'XAU': 0.003973678691226712}</t>
  </si>
  <si>
    <t>{'^SP500TR': 0.39999999999999997, 'LT09TRUU': 0.4, 'XLE': 0.1960263213087733, 'XAU': 0.003973678691226712}</t>
  </si>
  <si>
    <t>{'selected_satellites_str': 'XLE, XAU', 'candidate_id': 550, 'base_satellite_weights': {'XLE': 0.2, 'XAU': 0.2}, 'conviction_scalar': {'XLE': 0.9801316065438664, 'XAU': 0.01986839345613356}, 'realized_date': Timestamp('2009-07-31 00:00:00'), 'applied_weights_after_turnover_limit': {'^SP500TR': 0.39999999999999997, 'LT09TRUU': 0.4, 'XLB': 0.0, 'XLE': 0.1960263213087733, 'XLF': 0.0, 'XLI': 0.0, 'XLK': 0.0, 'XLY': 0.0, 'XLP': 0.0, 'XLU': 0.0, 'XLV': 0.0, 'XAU': 0.003973678691226712}, 'turnover': 0.007947347902373786, 'transaction_cost': 3.9736739511868925e-06, 'gross_simple_return': 0.042954825230124866, 'net_simple_return': 0.04295085155617368, 'window_size': 126, 'cash_weight': 0.0}</t>
  </si>
  <si>
    <t>{'Regime 0': 0.049789029437920254, 'Regime 1': 0.1586281632836643, 'Regime 2': 0.7915828072784156}</t>
  </si>
  <si>
    <t>{'XLE': 0.19004219411241596, 'XAU': 0.009957805887584052}</t>
  </si>
  <si>
    <t>{'^SP500TR': 0.39999999999999997, 'LT09TRUU': 0.4, 'XLE': 0.19004219411241596, 'XAU': 0.009957805887584052}</t>
  </si>
  <si>
    <t>{'selected_satellites_str': 'XLE, XAU', 'candidate_id': 550, 'base_satellite_weights': {'XLE': 0.2, 'XAU': 0.2}, 'conviction_scalar': {'XLE': 0.9502109705620797, 'XAU': 0.049789029437920254}, 'realized_date': Timestamp('2009-08-31 00:00:00'), 'applied_weights_after_turnover_limit': {'^SP500TR': 0.39999999999999997, 'LT09TRUU': 0.4, 'XLB': 0.0, 'XLE': 0.19004219411241596, 'XLF': 0.0, 'XLI': 0.0, 'XLK': 0.0, 'XLY': 0.0, 'XLP': 0.0, 'XLU': 0.0, 'XLV': 0.0, 'XAU': 0.009957805887584052}, 'turnover': 0.011968254392714664, 'transaction_cost': 5.984127196357332e-06, 'gross_simple_return': 0.02017153155880973, 'net_simple_return': 0.020165547431613372, 'window_size': 127, 'cash_weight': 0.0}</t>
  </si>
  <si>
    <t>{'Regime 0': 0.020095791527148688, 'Regime 1': 0.9793872933258928, 'Regime 2': 0.0005169151469584338}</t>
  </si>
  <si>
    <t>{'XLE': 0.24497605211821283, 'XAU': 0.003014368729072303}</t>
  </si>
  <si>
    <t>{'^SP500TR': 0.35200957915271486, 'LT09TRUU': 0.4, 'XLE': 0.24497605211821283, 'XAU': 0.003014368729072303}</t>
  </si>
  <si>
    <t>{'selected_satellites_str': 'XLE, XAU', 'candidate_id': 553, 'base_satellite_weights': {'XLE': 0.25, 'XAU': 0.15}, 'conviction_scalar': {'XLE': 0.9799042084728513, 'XAU': 0.020095791527148688}, 'realized_date': Timestamp('2009-09-30 00:00:00'), 'applied_weights_after_turnover_limit': {'^SP500TR': 0.35200957915271486, 'LT09TRUU': 0.4, 'XLB': 0.0, 'XLE': 0.24497605211821283, 'XLF': 0.0, 'XLI': 0.0, 'XLK': 0.0, 'XLY': 0.0, 'XLP': 0.0, 'XLU': 0.0, 'XLV': 0.0, 'XAU': 0.003014368729072303}, 'turnover': 0.10986771601159373, 'transaction_cost': 5.493385800579687e-05, 'gross_simple_return': 0.031812312504550036, 'net_simple_return': 0.03175737864654424, 'window_size': 128, 'cash_weight': 0.0}</t>
  </si>
  <si>
    <t>{'Regime 0': 0.020123919227127092, 'Regime 1': 0.9797924946287102, 'Regime 2': 8.358614416265745e-05}</t>
  </si>
  <si>
    <t>{'XLE': 0.19597521615457458, 'XAU': 0.004024783845425419}</t>
  </si>
  <si>
    <t>{'^SP500TR': 0.39999999999999997, 'LT09TRUU': 0.4, 'XLE': 0.19597521615457458, 'XAU': 0.004024783845425419}</t>
  </si>
  <si>
    <t>{'selected_satellites_str': 'XLE, XAU', 'candidate_id': 550, 'base_satellite_weights': {'XLE': 0.2, 'XAU': 0.2}, 'conviction_scalar': {'XLE': 0.9798760807728729, 'XAU': 0.020123919227127092}, 'realized_date': Timestamp('2009-10-31 00:00:00'), 'applied_weights_after_turnover_limit': {'^SP500TR': 0.39999999999999997, 'LT09TRUU': 0.4, 'XLB': 0.0, 'XLE': 0.19597521615457458, 'XLF': 0.0, 'XLI': 0.0, 'XLK': 0.0, 'XLY': 0.0, 'XLP': 0.0, 'XLU': 0.0, 'XLV': 0.0, 'XAU': 0.004024783845425419}, 'turnover': 0.09800167192727648, 'transaction_cost': 4.9000835963638236e-05, 'gross_simple_return': -0.0028174448856415927, 'net_simple_return': -0.002866445721605231, 'window_size': 129, 'cash_weight': 0.0}</t>
  </si>
  <si>
    <t>{'Regime 0': 3.229471679972974e-11, 'Regime 1': 0.0565454832466412, 'Regime 2': 0.9434545167210642}</t>
  </si>
  <si>
    <t>{'XLE': 0.39999999998708213}</t>
  </si>
  <si>
    <t>{'^SP500TR': 0.20000000001291784, 'LT09TRUU': 0.4, 'XLE': 0.39999999998708213}</t>
  </si>
  <si>
    <t>{'selected_satellites_str': 'XLE', 'candidate_id': 16, 'base_satellite_weights': {'XLE': 0.4}, 'conviction_scalar': {'XLE': 0.9999999999677053}, 'realized_date': Timestamp('2009-11-30 00:00:00'), 'applied_weights_after_turnover_limit': {'^SP500TR': 0.20000000001291784, 'LT09TRUU': 0.4, 'XLB': 0.0, 'XLE': 0.39999999998708213, 'XLF': 0.0, 'XLI': 0.0, 'XLK': 0.0, 'XLY': 0.0, 'XLP': 0.0, 'XLU': 0.0, 'XLV': 0.0, 'XAU': 0.0}, 'turnover': 0.4080495676650151, 'transaction_cost': 0.00020402478383250755, 'gross_simple_return': 0.03125250259634588, 'net_simple_return': 0.03104847781251337, 'window_size': 130, 'cash_weight': 0.0}</t>
  </si>
  <si>
    <t>{'Regime 0': 0.02024369614321974, 'Regime 1': 0.97958644391063, 'Regime 2': 0.00016985994615016124}</t>
  </si>
  <si>
    <t>{'XLE': 0.14696344557851704, 'XAU': 0.005060924035804935}</t>
  </si>
  <si>
    <t>{'^SP500TR': 0.447975630385678, 'LT09TRUU': 0.4, 'XLE': 0.14696344557851704, 'XAU': 0.005060924035804935}</t>
  </si>
  <si>
    <t>{'selected_satellites_str': 'XLE, XAU', 'candidate_id': 546, 'base_satellite_weights': {'XLE': 0.15, 'XAU': 0.25}, 'conviction_scalar': {'XLE': 0.9797563038567803, 'XAU': 0.02024369614321974}, 'realized_date': Timestamp('2009-12-31 00:00:00'), 'applied_weights_after_turnover_limit': {'^SP500TR': 0.447975630385678, 'LT09TRUU': 0.4, 'XLB': 0.0, 'XLE': 0.14696344557851704, 'XLF': 0.0, 'XLI': 0.0, 'XLK': 0.0, 'XLY': 0.0, 'XLP': 0.0, 'XLU': 0.0, 'XLV': 0.0, 'XAU': 0.005060924035804935}, 'turnover': 0.5060731088171302, 'transaction_cost': 0.0002530365544085651, 'gross_simple_return': -0.007645079621998722, 'net_simple_return': -0.007898116176407288, 'window_size': 131, 'cash_weight': 0.0}</t>
  </si>
  <si>
    <t>{'Regime 0': 0.02006180608886923, 'Regime 1': 0.9796228960905733, 'Regime 2': 0.00031529782055754213}</t>
  </si>
  <si>
    <t>{'XLE': 0.19598763878222616, 'XAU': 0.004012361217773846}</t>
  </si>
  <si>
    <t>{'^SP500TR': 0.39999999999999997, 'LT09TRUU': 0.4, 'XLE': 0.19598763878222616, 'XAU': 0.004012361217773846}</t>
  </si>
  <si>
    <t>{'selected_satellites_str': 'XLE, XAU', 'candidate_id': 550, 'base_satellite_weights': {'XLE': 0.2, 'XAU': 0.2}, 'conviction_scalar': {'XLE': 0.9799381939111308, 'XAU': 0.02006180608886923}, 'realized_date': Timestamp('2010-01-31 00:00:00'), 'applied_weights_after_turnover_limit': {'^SP500TR': 0.39999999999999997, 'LT09TRUU': 0.4, 'XLB': 0.0, 'XLE': 0.19598763878222616, 'XLF': 0.0, 'XLI': 0.0, 'XLK': 0.0, 'XLY': 0.0, 'XLP': 0.0, 'XLU': 0.0, 'XLV': 0.0, 'XAU': 0.004012361217773846}, 'turnover': 0.09804838640741825, 'transaction_cost': 4.9024193203709125e-05, 'gross_simple_return': -0.014655757343442526, 'net_simple_return': -0.014704781536646236, 'window_size': 132, 'cash_weight': 0.0}</t>
  </si>
  <si>
    <t>{'Regime 0': 8.809775624709086e-13, 'Regime 1': 0.05589788262471548, 'Regime 2': 0.9441021173744036}</t>
  </si>
  <si>
    <t>XLE, XLI</t>
  </si>
  <si>
    <t>{'XLE': 0.2999999999997357, 'XLI': 0.09999999999991191}</t>
  </si>
  <si>
    <t>{'^SP500TR': 0.20000000000035234, 'LT09TRUU': 0.4, 'XLE': 0.2999999999997357, 'XLI': 0.09999999999991191}</t>
  </si>
  <si>
    <t>{'selected_satellites_str': 'XLE, XLI', 'candidate_id': 387, 'base_satellite_weights': {'XLE': 0.3, 'XLI': 0.1}, 'conviction_scalar': {'XLE': 0.999999999999119, 'XLI': 0.999999999999119}, 'realized_date': Timestamp('2010-02-28 00:00:00'), 'applied_weights_after_turnover_limit': {'^SP500TR': 0.20000000000035234, 'LT09TRUU': 0.4, 'XLB': 0.0, 'XLE': 0.2999999999997357, 'XLF': 0.0, 'XLI': 0.09999999999991191, 'XLK': 0.0, 'XLY': 0.0, 'XLP': 0.0, 'XLU': 0.0, 'XLV': 0.0, 'XAU': 0.0}, 'turnover': 0.4080247224348429, 'transaction_cost': 0.00020401236121742145, 'gross_simple_return': 0.022826540125066696, 'net_simple_return': 0.022622527763849275, 'window_size': 133, 'cash_weight': 0.0}</t>
  </si>
  <si>
    <t>{'Regime 0': 0.02022189652833915, 'Regime 1': 0.9796075656730764, 'Regime 2': 0.0001705377985844836}</t>
  </si>
  <si>
    <t>{'XLE': 0.04898890517358304, 'XAU': 0.007077663784918702}</t>
  </si>
  <si>
    <t>{'^SP500TR': 0.5439334310414983, 'LT09TRUU': 0.4, 'XLE': 0.04898890517358304, 'XAU': 0.007077663784918702}</t>
  </si>
  <si>
    <t>{'selected_satellites_str': 'XLE, XAU', 'candidate_id': 535, 'base_satellite_weights': {'XLE': 0.05, 'XAU': 0.35}, 'conviction_scalar': {'XLE': 0.9797781034716608, 'XAU': 0.02022189652833915}, 'realized_date': Timestamp('2010-03-31 00:00:00'), 'applied_weights_after_turnover_limit': {'^SP500TR': 0.5439334310414983, 'LT09TRUU': 0.4, 'XLB': 0.0, 'XLE': 0.04898890517358304, 'XLF': 0.0, 'XLI': 0.0, 'XLK': 0.0, 'XLY': 0.0, 'XLP': 0.0, 'XLU': 0.0, 'XLV': 0.0, 'XAU': 0.007077663784918702}, 'turnover': 0.7020221896521291, 'transaction_cost': 0.00035101109482606457, 'gross_simple_return': 0.028511272358838602, 'net_simple_return': 0.028160261264012536, 'window_size': 134, 'cash_weight': 0.0}</t>
  </si>
  <si>
    <t>{'Regime 0': 2.9239752885091757e-05, 'Regime 1': 0.03895109980987354, 'Regime 2': 0.9610196604372414}</t>
  </si>
  <si>
    <t>{'XLB': 0.24999269006177874, 'XAU': 4.3859629327637635e-06}</t>
  </si>
  <si>
    <t>{'^SP500TR': 0.3500029239752885, 'LT09TRUU': 0.4, 'XLB': 0.24999269006177874, 'XAU': 4.3859629327637635e-06}</t>
  </si>
  <si>
    <t>{'selected_satellites_str': 'XLB, XAU', 'candidate_id': 329, 'base_satellite_weights': {'XLB': 0.25, 'XAU': 0.15}, 'conviction_scalar': {'XLB': 0.999970760247115, 'XAU': 2.9239752885091757e-05}, 'realized_date': Timestamp('2010-04-30 00:00:00'), 'applied_weights_after_turnover_limit': {'^SP500TR': 0.3500029239752885, 'LT09TRUU': 0.4, 'XLB': 0.24999269006177874, 'XLE': 0.0, 'XLF': 0.0, 'XLI': 0.0, 'XLK': 0.0, 'XLY': 0.0, 'XLP': 0.0, 'XLU': 0.0, 'XLV': 0.0, 'XAU': 4.3859629327637635e-06}, 'turnover': 0.4999853801235575, 'transaction_cost': 0.00024999269006177876, 'gross_simple_return': 0.01254158666901135, 'net_simple_return': 0.01229159397894957, 'window_size': 135, 'cash_weight': 0.0}</t>
  </si>
  <si>
    <t>{'Regime 0': 0.05495021449777339, 'Regime 1': 1.5650376275859052e-09, 'Regime 2': 0.945049783937189}</t>
  </si>
  <si>
    <t>{'XLE': 0.18900995710044532, 'XLI': 0.18900995710044532}</t>
  </si>
  <si>
    <t>{'^SP500TR': 0.22198008579910933, 'LT09TRUU': 0.4, 'XLE': 0.18900995710044532, 'XLI': 0.18900995710044532}</t>
  </si>
  <si>
    <t>{'selected_satellites_str': 'XLE, XLI', 'candidate_id': 382, 'base_satellite_weights': {'XLE': 0.2, 'XLI': 0.2}, 'conviction_scalar': {'XLE': 0.9450497855022266, 'XLI': 0.9450497855022266}, 'realized_date': Timestamp('2010-05-31 00:00:00'), 'applied_weights_after_turnover_limit': {'^SP500TR': 0.22198008579910933, 'LT09TRUU': 0.4, 'XLB': 0.0, 'XLE': 0.18900995710044532, 'XLF': 0.0, 'XLI': 0.18900995710044532, 'XLK': 0.0, 'XLY': 0.0, 'XLP': 0.0, 'XLU': 0.0, 'XLV': 0.0, 'XAU': 0.0}, 'turnover': 0.7560398284017812, 'transaction_cost': 0.0003780199142008906, 'gross_simple_return': -0.047235398097644404, 'net_simple_return': -0.04761341801184529, 'window_size': 136, 'cash_weight': 0.0}</t>
  </si>
  <si>
    <t>{'Regime 0': 0.15713325733011593, 'Regime 1': 0.3924720269167675, 'Regime 2': 0.45039471575311657}</t>
  </si>
  <si>
    <t>{'XAU': 0.06285330293204637}</t>
  </si>
  <si>
    <t>{'^SP500TR': 0.5371466970679536, 'LT09TRUU': 0.4, 'XAU': 0.06285330293204637}</t>
  </si>
  <si>
    <t>{'selected_satellites_str': 'XAU', 'candidate_id': 80, 'base_satellite_weights': {'XAU': 0.4}, 'conviction_scalar': {'XAU': 0.15713325733011593}, 'realized_date': Timestamp('2010-06-30 00:00:00'), 'applied_weights_after_turnover_limit': {'^SP500TR': 0.5371466970679536, 'LT09TRUU': 0.4, 'XLB': 0.0, 'XLE': 0.0, 'XLF': 0.0, 'XLI': 0.0, 'XLK': 0.0, 'XLY': 0.0, 'XLP': 0.0, 'XLU': 0.0, 'XLV': 0.0, 'XAU': 0.06285330293204637}, 'turnover': 0.7560398284017813, 'transaction_cost': 0.00037801991420089066, 'gross_simple_return': -0.015215127543049718, 'net_simple_return': -0.015593147457250609, 'window_size': 137, 'cash_weight': 0.0}</t>
  </si>
  <si>
    <t>{'Regime 0': 0.184657157454504, 'Regime 1': 0.4839222248980144, 'Regime 2': 0.33142061764748154}</t>
  </si>
  <si>
    <t>{'XAU': 0.0738628629818016}</t>
  </si>
  <si>
    <t>{'^SP500TR': 0.5261371370181984, 'LT09TRUU': 0.4, 'XAU': 0.0738628629818016}</t>
  </si>
  <si>
    <t>{'selected_satellites_str': 'XAU', 'candidate_id': 80, 'base_satellite_weights': {'XAU': 0.4}, 'conviction_scalar': {'XAU': 0.184657157454504}, 'realized_date': Timestamp('2010-07-31 00:00:00'), 'applied_weights_after_turnover_limit': {'^SP500TR': 0.5261371370181984, 'LT09TRUU': 0.4, 'XLB': 0.0, 'XLE': 0.0, 'XLF': 0.0, 'XLI': 0.0, 'XLK': 0.0, 'XLY': 0.0, 'XLP': 0.0, 'XLU': 0.0, 'XLV': 0.0, 'XAU': 0.0738628629818016}, 'turnover': 0.022019120099510403, 'transaction_cost': 1.1009560049755203e-05, 'gross_simple_return': 0.03685935912278675, 'net_simple_return': 0.03684834956273699, 'window_size': 138, 'cash_weight': 0.0}</t>
  </si>
  <si>
    <t>{'Regime 0': 0.06188266038428228, 'Regime 1': 0.004918505416303457, 'Regime 2': 0.9331988341994143}</t>
  </si>
  <si>
    <t>XLB, XLI</t>
  </si>
  <si>
    <t>{'XLB': 0.18762346792314355, 'XLI': 0.18762346792314355}</t>
  </si>
  <si>
    <t>{'^SP500TR': 0.22475306415371288, 'LT09TRUU': 0.4, 'XLB': 0.18762346792314355, 'XLI': 0.18762346792314355}</t>
  </si>
  <si>
    <t>{'selected_satellites_str': 'XLB, XLI', 'candidate_id': 158, 'base_satellite_weights': {'XLB': 0.2, 'XLI': 0.2}, 'conviction_scalar': {'XLB': 0.9381173396157177, 'XLI': 0.9381173396157177}, 'realized_date': Timestamp('2010-08-31 00:00:00'), 'applied_weights_after_turnover_limit': {'^SP500TR': 0.22475306415371288, 'LT09TRUU': 0.4, 'XLB': 0.18762346792314355, 'XLE': 0.0, 'XLF': 0.0, 'XLI': 0.18762346792314355, 'XLK': 0.0, 'XLY': 0.0, 'XLP': 0.0, 'XLU': 0.0, 'XLV': 0.0, 'XAU': 0.0}, 'turnover': 0.7504938716925742, 'transaction_cost': 0.0003752469358462871, 'gross_simple_return': -0.01630296787051636, 'net_simple_return': -0.016678214806362647, 'window_size': 139, 'cash_weight': 0.0}</t>
  </si>
  <si>
    <t>{'Regime 0': 0.9442670941738865, 'Regime 1': 0.0027923401836337444, 'Regime 2': 0.05294056564247966}</t>
  </si>
  <si>
    <t>{'XAU': 0.37770683766955465}</t>
  </si>
  <si>
    <t>{'^SP500TR': 0.22229316233044533, 'LT09TRUU': 0.4, 'XAU': 0.37770683766955465}</t>
  </si>
  <si>
    <t>{'selected_satellites_str': 'XAU', 'candidate_id': 80, 'base_satellite_weights': {'XAU': 0.4}, 'conviction_scalar': {'XAU': 0.9442670941738865}, 'realized_date': Timestamp('2010-09-30 00:00:00'), 'applied_weights_after_turnover_limit': {'^SP500TR': 0.22229316233044533, 'LT09TRUU': 0.4, 'XLB': 0.0, 'XLE': 0.0, 'XLF': 0.0, 'XLI': 0.0, 'XLK': 0.0, 'XLY': 0.0, 'XLP': 0.0, 'XLU': 0.0, 'XLV': 0.0, 'XAU': 0.37770683766955465}, 'turnover': 0.7554136753391093, 'transaction_cost': 0.00037770683766955466, 'gross_simple_return': 0.03781675373646622, 'net_simple_return': 0.037439046898796666, 'window_size': 140, 'cash_weight': 0.0}</t>
  </si>
  <si>
    <t>{'Regime 0': 0.0006856436408011205, 'Regime 1': 0.09839031904800223, 'Regime 2': 0.9009240373111967}</t>
  </si>
  <si>
    <t>{'XLB': 0.3497600247257196, 'XAU': 3.4282182040056025e-05}</t>
  </si>
  <si>
    <t>{'^SP500TR': 0.25020569309224033, 'LT09TRUU': 0.4, 'XLB': 0.3497600247257196, 'XAU': 3.4282182040056025e-05}</t>
  </si>
  <si>
    <t>{'selected_satellites_str': 'XLB, XAU', 'candidate_id': 332, 'base_satellite_weights': {'XLB': 0.35, 'XAU': 0.05}, 'conviction_scalar': {'XLB': 0.9993143563591989, 'XAU': 0.0006856436408011205}, 'realized_date': Timestamp('2010-10-31 00:00:00'), 'applied_weights_after_turnover_limit': {'^SP500TR': 0.25020569309224033, 'LT09TRUU': 0.4, 'XLB': 0.3497600247257196, 'XLE': 0.0, 'XLF': 0.0, 'XLI': 0.0, 'XLK': 0.0, 'XLY': 0.0, 'XLP': 0.0, 'XLU': 0.0, 'XLV': 0.0, 'XAU': 3.4282182040056025e-05}, 'turnover': 0.7553451109750292, 'transaction_cost': 0.0003776725554875146, 'gross_simple_return': 0.030475134615646306, 'net_simple_return': 0.03009746206015879, 'window_size': 141, 'cash_weight': 0.0}</t>
  </si>
  <si>
    <t>{'Regime 0': 0.0533317510575723, 'Regime 1': 3.1562631990823284e-07, 'Regime 2': 0.9466679333161078}</t>
  </si>
  <si>
    <t>{'XLB': 0.2840004746827283, 'XAU': 0.00533317510575723}</t>
  </si>
  <si>
    <t>{'^SP500TR': 0.31066635021151445, 'LT09TRUU': 0.4, 'XLB': 0.2840004746827283, 'XAU': 0.00533317510575723}</t>
  </si>
  <si>
    <t>{'selected_satellites_str': 'XLB, XAU', 'candidate_id': 331, 'base_satellite_weights': {'XLB': 0.3, 'XAU': 0.1}, 'conviction_scalar': {'XLB': 0.9466682489424277, 'XAU': 0.0533317510575723}, 'realized_date': Timestamp('2010-11-30 00:00:00'), 'applied_weights_after_turnover_limit': {'^SP500TR': 0.31066635021151445, 'LT09TRUU': 0.4, 'XLB': 0.2840004746827283, 'XLE': 0.0, 'XLF': 0.0, 'XLI': 0.0, 'XLK': 0.0, 'XLY': 0.0, 'XLP': 0.0, 'XLU': 0.0, 'XLV': 0.0, 'XAU': 0.00533317510575723}, 'turnover': 0.13151910008598258, 'transaction_cost': 6.575955004299129e-05, 'gross_simple_return': -2.4017741423302348e-05, 'net_simple_return': -8.977729146629364e-05, 'window_size': 142, 'cash_weight': 0.0}</t>
  </si>
  <si>
    <t>{'Regime 0': 0.05186971656725971, 'Regime 1': 1.0475346540667626e-08, 'Regime 2': 0.9481302729573938}</t>
  </si>
  <si>
    <t>{'XLB': 0.28443908502982207, 'XAU': 0.005186971656725971}</t>
  </si>
  <si>
    <t>{'^SP500TR': 0.3103739433134519, 'LT09TRUU': 0.4, 'XLB': 0.28443908502982207, 'XAU': 0.005186971656725971}</t>
  </si>
  <si>
    <t>{'selected_satellites_str': 'XLB, XAU', 'candidate_id': 331, 'base_satellite_weights': {'XLB': 0.3, 'XAU': 0.1}, 'conviction_scalar': {'XLB': 0.9481302834327403, 'XAU': 0.05186971656725971}, 'realized_date': Timestamp('2010-12-31 00:00:00'), 'applied_weights_after_turnover_limit': {'^SP500TR': 0.3103739433134519, 'LT09TRUU': 0.4, 'XLB': 0.28443908502982207, 'XLE': 0.0, 'XLF': 0.0, 'XLI': 0.0, 'XLK': 0.0, 'XLY': 0.0, 'XLP': 0.0, 'XLU': 0.0, 'XLV': 0.0, 'XAU': 0.005186971656725971}, 'turnover': 0.000877220694187544, 'transaction_cost': 4.38610347093772e-07, 'gross_simple_return': 0.03394279510540083, 'net_simple_return': 0.03394235649505374, 'window_size': 143, 'cash_weight': 0.0}</t>
  </si>
  <si>
    <t>{'Regime 0': 0.081839965948555, 'Regime 1': 1.0709653227710028e-09, 'Regime 2': 0.9181600329804798}</t>
  </si>
  <si>
    <t>{'XLB': 0.27544801021543347, 'XLE': 0.09181600340514451}</t>
  </si>
  <si>
    <t>{'^SP500TR': 0.232735986379422, 'LT09TRUU': 0.4, 'XLB': 0.27544801021543347, 'XLE': 0.09181600340514451}</t>
  </si>
  <si>
    <t>{'selected_satellites_str': 'XLB, XLE', 'candidate_id': 107, 'base_satellite_weights': {'XLB': 0.3, 'XLE': 0.1}, 'conviction_scalar': {'XLB': 0.918160034051445, 'XLE': 0.918160034051445}, 'realized_date': Timestamp('2011-01-31 00:00:00'), 'applied_weights_after_turnover_limit': {'^SP500TR': 0.232735986379422, 'LT09TRUU': 0.4, 'XLB': 0.27544801021543347, 'XLE': 0.09181600340514451, 'XLF': 0.0, 'XLI': 0.0, 'XLK': 0.0, 'XLY': 0.0, 'XLP': 0.0, 'XLU': 0.0, 'XLV': 0.0, 'XAU': 0.0}, 'turnover': 0.183632006810289, 'transaction_cost': 9.18160034051445e-05, 'gross_simple_return': 0.012232707113659622, 'net_simple_return': 0.012140891110254478, 'window_size': 144, 'cash_weight': 0.0}</t>
  </si>
  <si>
    <t>{'Regime 0': 0.08143845247489155, 'Regime 1': 4.4746228975196684e-09, 'Regime 2': 0.9185615430504857}</t>
  </si>
  <si>
    <t>{'XLE': 0.09185615475251085, 'XLI': 0.2755684642575325}</t>
  </si>
  <si>
    <t>{'^SP500TR': 0.23257538098995661, 'LT09TRUU': 0.4, 'XLE': 0.09185615475251085, 'XLI': 0.2755684642575325}</t>
  </si>
  <si>
    <t>{'selected_satellites_str': 'XLE, XLI', 'candidate_id': 373, 'base_satellite_weights': {'XLE': 0.1, 'XLI': 0.3}, 'conviction_scalar': {'XLE': 0.9185615475251084, 'XLI': 0.9185615475251084}, 'realized_date': Timestamp('2011-02-28 00:00:00'), 'applied_weights_after_turnover_limit': {'^SP500TR': 0.23257538098995661, 'LT09TRUU': 0.4, 'XLB': 0.0, 'XLE': 0.09185615475251085, 'XLF': 0.0, 'XLI': 0.2755684642575325, 'XLK': 0.0, 'XLY': 0.0, 'XLP': 0.0, 'XLU': 0.0, 'XLV': 0.0, 'XAU': 0.0}, 'turnover': 0.5512172312097977, 'transaction_cost': 0.00027560861560489887, 'gross_simple_return': 0.019522680321810752, 'net_simple_return': 0.019247071706205852, 'window_size': 145, 'cash_weight': 0.0}</t>
  </si>
  <si>
    <t>{'Regime 0': 0.04612367587774026, 'Regime 1': 5.566246300341257e-08, 'Regime 2': 0.9538762684597968}</t>
  </si>
  <si>
    <t>{'XLB': 0.2861628972366779, 'XAU': 0.004612367587774026}</t>
  </si>
  <si>
    <t>{'^SP500TR': 0.30922473517554805, 'LT09TRUU': 0.4, 'XLB': 0.2861628972366779, 'XAU': 0.004612367587774026}</t>
  </si>
  <si>
    <t>{'selected_satellites_str': 'XLB, XAU', 'candidate_id': 331, 'base_satellite_weights': {'XLB': 0.3, 'XAU': 0.1}, 'conviction_scalar': {'XLB': 0.9538763241222598, 'XAU': 0.04612367587774026}, 'realized_date': Timestamp('2011-03-31 00:00:00'), 'applied_weights_after_turnover_limit': {'^SP500TR': 0.30922473517554805, 'LT09TRUU': 0.4, 'XLB': 0.2861628972366779, 'XLE': 0.0, 'XLF': 0.0, 'XLI': 0.0, 'XLK': 0.0, 'XLY': 0.0, 'XLP': 0.0, 'XLU': 0.0, 'XLV': 0.0, 'XAU': 0.004612367587774026}, 'turnover': 0.7348492380200868, 'transaction_cost': 0.0003674246190100434, 'gross_simple_return': 0.005030289655889931, 'net_simple_return': 0.004662865036879888, 'window_size': 146, 'cash_weight': 0.0}</t>
  </si>
  <si>
    <t>{'Regime 0': 0.049907353260674775, 'Regime 1': 1.135565057303437e-10, 'Regime 2': 0.9500926466257688}</t>
  </si>
  <si>
    <t>{'XLB': 0.28502779402179756, 'XAU': 0.004990735326067478}</t>
  </si>
  <si>
    <t>{'^SP500TR': 0.30998147065213494, 'LT09TRUU': 0.4, 'XLB': 0.28502779402179756, 'XAU': 0.004990735326067478}</t>
  </si>
  <si>
    <t>{'selected_satellites_str': 'XLB, XAU', 'candidate_id': 331, 'base_satellite_weights': {'XLB': 0.3, 'XAU': 0.1}, 'conviction_scalar': {'XLB': 0.9500926467393253, 'XAU': 0.049907353260674775}, 'realized_date': Timestamp('2011-04-30 00:00:00'), 'applied_weights_after_turnover_limit': {'^SP500TR': 0.30998147065213494, 'LT09TRUU': 0.4, 'XLB': 0.28502779402179756, 'XLE': 0.0, 'XLF': 0.0, 'XLI': 0.0, 'XLK': 0.0, 'XLY': 0.0, 'XLP': 0.0, 'XLU': 0.0, 'XLV': 0.0, 'XAU': 0.004990735326067478}, 'turnover': 0.002270206429760704, 'transaction_cost': 1.135103214880352e-06, 'gross_simple_return': 0.022003274269219584, 'net_simple_return': 0.022002139166004703, 'window_size': 147, 'cash_weight': 0.0}</t>
  </si>
  <si>
    <t>{'Regime 0': 0.043264836281533624, 'Regime 1': 0.03279929496204275, 'Regime 2': 0.9239358687564235}</t>
  </si>
  <si>
    <t>XLI, XAU</t>
  </si>
  <si>
    <t>{'XLI': 0.3348573073014632, 'XAU': 0.0021632418140766813}</t>
  </si>
  <si>
    <t>{'^SP500TR': 0.2629794508844601, 'LT09TRUU': 0.4, 'XLI': 0.3348573073014632, 'XAU': 0.0021632418140766813}</t>
  </si>
  <si>
    <t>{'selected_satellites_str': 'XLI, XAU', 'candidate_id': 920, 'base_satellite_weights': {'XLI': 0.35, 'XAU': 0.05}, 'conviction_scalar': {'XLI': 0.9567351637184663, 'XAU': 0.043264836281533624}, 'realized_date': Timestamp('2011-05-31 00:00:00'), 'applied_weights_after_turnover_limit': {'^SP500TR': 0.2629794508844601, 'LT09TRUU': 0.4, 'XLB': 0.0, 'XLE': 0.0, 'XLF': 0.0, 'XLI': 0.3348573073014632, 'XLK': 0.0, 'XLY': 0.0, 'XLP': 0.0, 'XLU': 0.0, 'XLV': 0.0, 'XAU': 0.0021632418140766813}, 'turnover': 0.6697146146029263, 'transaction_cost': 0.0003348573073014631, 'gross_simple_return': -0.0022033368479290796, 'net_simple_return': -0.0025381941552305425, 'window_size': 148, 'cash_weight': 0.0}</t>
  </si>
  <si>
    <t>{'Regime 0': 0.05028112290676366, 'Regime 1': 8.340443814537528e-14, 'Regime 2': 0.949718877093153}</t>
  </si>
  <si>
    <t>{'XLB': 0.3324016069826327, 'XAU': 0.002514056145338183}</t>
  </si>
  <si>
    <t>{'^SP500TR': 0.2650843368720291, 'LT09TRUU': 0.4, 'XLB': 0.3324016069826327, 'XAU': 0.002514056145338183}</t>
  </si>
  <si>
    <t>{'selected_satellites_str': 'XLB, XAU', 'candidate_id': 332, 'base_satellite_weights': {'XLB': 0.35, 'XAU': 0.05}, 'conviction_scalar': {'XLB': 0.9497188770932363, 'XAU': 0.05028112290676366}, 'realized_date': Timestamp('2011-06-30 00:00:00'), 'applied_weights_after_turnover_limit': {'^SP500TR': 0.2650843368720291, 'LT09TRUU': 0.4, 'XLB': 0.3324016069826327, 'XLE': 0.0, 'XLF': 0.0, 'XLI': 0.0, 'XLK': 0.0, 'XLY': 0.0, 'XLP': 0.0, 'XLU': 0.0, 'XLV': 0.0, 'XAU': 0.002514056145338183}, 'turnover': 0.6697146146029264, 'transaction_cost': 0.0003348573073014632, 'gross_simple_return': -0.007423908586294254, 'net_simple_return': -0.007758765893595717, 'window_size': 149, 'cash_weight': 0.0}</t>
  </si>
  <si>
    <t>{'Regime 0': 0.042645930636440794, 'Regime 1': 1.1966585103677826e-08, 'Regime 2': 0.9573540573969741}</t>
  </si>
  <si>
    <t>{'XLB': 0.2872062208090677, 'XAU': 0.004264593063644079}</t>
  </si>
  <si>
    <t>{'^SP500TR': 0.3085291861272882, 'LT09TRUU': 0.4, 'XLB': 0.2872062208090677, 'XAU': 0.004264593063644079}</t>
  </si>
  <si>
    <t>{'selected_satellites_str': 'XLB, XAU', 'candidate_id': 331, 'base_satellite_weights': {'XLB': 0.3, 'XAU': 0.1}, 'conviction_scalar': {'XLB': 0.9573540693635592, 'XAU': 0.042645930636440794}, 'realized_date': Timestamp('2011-07-31 00:00:00'), 'applied_weights_after_turnover_limit': {'^SP500TR': 0.3085291861272882, 'LT09TRUU': 0.4, 'XLB': 0.2872062208090677, 'XLE': 0.0, 'XLF': 0.0, 'XLI': 0.0, 'XLK': 0.0, 'XLY': 0.0, 'XLP': 0.0, 'XLU': 0.0, 'XLV': 0.0, 'XAU': 0.004264593063644079}, 'turnover': 0.09039077234713, 'transaction_cost': 4.5195386173565e-05, 'gross_simple_return': -0.004187789163857163, 'net_simple_return': -0.004232984550030728, 'window_size': 150, 'cash_weight': 0.0}</t>
  </si>
  <si>
    <t>{'Regime 0': 0.046536699360829666, 'Regime 1': 4.414127922795247e-12, 'Regime 2': 0.9534633006347563}</t>
  </si>
  <si>
    <t>{'XLB': 0.28603899019175105, 'XAU': 0.004653669936082966}</t>
  </si>
  <si>
    <t>{'^SP500TR': 0.30930733987216597, 'LT09TRUU': 0.4, 'XLB': 0.28603899019175105, 'XAU': 0.004653669936082966}</t>
  </si>
  <si>
    <t>{'selected_satellites_str': 'XLB, XAU', 'candidate_id': 331, 'base_satellite_weights': {'XLB': 0.3, 'XAU': 0.1}, 'conviction_scalar': {'XLB': 0.9534633006391703, 'XAU': 0.046536699360829666}, 'realized_date': Timestamp('2011-08-31 00:00:00'), 'applied_weights_after_turnover_limit': {'^SP500TR': 0.30930733987216597, 'LT09TRUU': 0.4, 'XLB': 0.28603899019175105, 'XLE': 0.0, 'XLF': 0.0, 'XLI': 0.0, 'XLK': 0.0, 'XLY': 0.0, 'XLP': 0.0, 'XLU': 0.0, 'XLV': 0.0, 'XAU': 0.004653669936082966}, 'turnover': 0.0023344612346333227, 'transaction_cost': 1.1672306173166614e-06, 'gross_simple_return': -0.01837441585771036, 'net_simple_return': -0.018375583088327676, 'window_size': 151, 'cash_weight': 0.0}</t>
  </si>
  <si>
    <t>{'Regime 0': 0.19976387070496657, 'Regime 1': 0.016755268825800394, 'Regime 2': 0.7834808604692332}</t>
  </si>
  <si>
    <t>{'XLE': 0.12003541939425501, 'XAU': 0.04994096767624164}</t>
  </si>
  <si>
    <t>{'^SP500TR': 0.4300236129295033, 'LT09TRUU': 0.4, 'XLE': 0.12003541939425501, 'XAU': 0.04994096767624164}</t>
  </si>
  <si>
    <t>{'selected_satellites_str': 'XLE, XAU', 'candidate_id': 546, 'base_satellite_weights': {'XLE': 0.15, 'XAU': 0.25}, 'conviction_scalar': {'XLE': 0.8002361292950334, 'XAU': 0.19976387070496657}, 'realized_date': Timestamp('2011-09-30 00:00:00'), 'applied_weights_after_turnover_limit': {'^SP500TR': 0.4300236129295033, 'LT09TRUU': 0.4, 'XLB': 0.0, 'XLE': 0.12003541939425501, 'XLF': 0.0, 'XLI': 0.0, 'XLK': 0.0, 'XLY': 0.0, 'XLP': 0.0, 'XLU': 0.0, 'XLV': 0.0, 'XAU': 0.04994096767624164}, 'turnover': 0.5720779803835021, 'transaction_cost': 0.00028603899019175104, 'gross_simple_return': -0.04712912488133743, 'net_simple_return': -0.04741516387152918, 'window_size': 152, 'cash_weight': 0.0}</t>
  </si>
  <si>
    <t>{'Regime 0': 0.11353718683806692, 'Regime 1': 0.26574507838360745, 'Regime 2': 0.6207177347783256}</t>
  </si>
  <si>
    <t>{'XAU': 0.04541487473522677}</t>
  </si>
  <si>
    <t>{'^SP500TR': 0.5545851252647732, 'LT09TRUU': 0.4, 'XAU': 0.04541487473522677}</t>
  </si>
  <si>
    <t>{'selected_satellites_str': 'XAU', 'candidate_id': 80, 'base_satellite_weights': {'XAU': 0.4}, 'conviction_scalar': {'XAU': 0.11353718683806692}, 'realized_date': Timestamp('2011-10-31 00:00:00'), 'applied_weights_after_turnover_limit': {'^SP500TR': 0.5545851252647732, 'LT09TRUU': 0.4, 'XLB': 0.0, 'XLE': 0.0, 'XLF': 0.0, 'XLI': 0.0, 'XLK': 0.0, 'XLY': 0.0, 'XLP': 0.0, 'XLU': 0.0, 'XLV': 0.0, 'XAU': 0.04541487473522677}, 'turnover': 0.24912302467053976, 'transaction_cost': 0.0001245615123352699, 'gross_simple_return': 0.05585489084186953, 'net_simple_return': 0.05573032932953426, 'window_size': 153, 'cash_weight': 0.0}</t>
  </si>
  <si>
    <t>{'Regime 0': 0.001519377757063953, 'Regime 1': 0.034260569418671706, 'Regime 2': 0.9642200528242644}</t>
  </si>
  <si>
    <t>{'XLE': 0.39939224889717445}</t>
  </si>
  <si>
    <t>{'^SP500TR': 0.20060775110282553, 'LT09TRUU': 0.4, 'XLE': 0.39939224889717445}</t>
  </si>
  <si>
    <t>{'selected_satellites_str': 'XLE', 'candidate_id': 16, 'base_satellite_weights': {'XLE': 0.4}, 'conviction_scalar': {'XLE': 0.9984806222429361}, 'realized_date': Timestamp('2011-11-30 00:00:00'), 'applied_weights_after_turnover_limit': {'^SP500TR': 0.20060775110282553, 'LT09TRUU': 0.4, 'XLB': 0.0, 'XLE': 0.39939224889717445, 'XLF': 0.0, 'XLI': 0.0, 'XLK': 0.0, 'XLY': 0.0, 'XLP': 0.0, 'XLU': 0.0, 'XLV': 0.0, 'XAU': 0.0}, 'turnover': 0.7987844977943489, 'transaction_cost': 0.00039939224889717445, 'gross_simple_return': 0.01029887036440958, 'net_simple_return': 0.009899478115512407, 'window_size': 154, 'cash_weight': 0.0}</t>
  </si>
  <si>
    <t>{'Regime 0': 0.040377151317950485, 'Regime 1': 0.9325510697238064, 'Regime 2': 0.027071778958243076}</t>
  </si>
  <si>
    <t>{'XLI': 0.04798114243410248, 'XAU': 0.01413200296128267}</t>
  </si>
  <si>
    <t>{'^SP500TR': 0.5378868546046148, 'LT09TRUU': 0.4, 'XLI': 0.04798114243410248, 'XAU': 0.01413200296128267}</t>
  </si>
  <si>
    <t>{'selected_satellites_str': 'XLI, XAU', 'candidate_id': 899, 'base_satellite_weights': {'XLI': 0.05, 'XAU': 0.35}, 'conviction_scalar': {'XLI': 0.9596228486820495, 'XAU': 0.040377151317950485}, 'realized_date': Timestamp('2011-12-31 00:00:00'), 'applied_weights_after_turnover_limit': {'^SP500TR': 0.5378868546046148, 'LT09TRUU': 0.4, 'XLB': 0.0, 'XLE': 0.0, 'XLF': 0.0, 'XLI': 0.04798114243410248, 'XLK': 0.0, 'XLY': 0.0, 'XLP': 0.0, 'XLU': 0.0, 'XLV': 0.0, 'XAU': 0.01413200296128267}, 'turnover': 0.7987844977943489, 'transaction_cost': 0.00039939224889717445, 'gross_simple_return': 0.011032808259501075, 'net_simple_return': 0.010633416010603901, 'window_size': 155, 'cash_weight': 0.0}</t>
  </si>
  <si>
    <t>{'Regime 0': 0.05043681607492573, 'Regime 1': 1.6601478907819684e-06, 'Regime 2': 0.9495615237771835}</t>
  </si>
  <si>
    <t>{'XLI': 0.18991263678501485, 'XAU': 0.010087363214985146}</t>
  </si>
  <si>
    <t>{'^SP500TR': 0.39999999999999997, 'LT09TRUU': 0.4, 'XLI': 0.18991263678501485, 'XAU': 0.010087363214985146}</t>
  </si>
  <si>
    <t>{'selected_satellites_str': 'XLI, XAU', 'candidate_id': 914, 'base_satellite_weights': {'XLI': 0.2, 'XAU': 0.2}, 'conviction_scalar': {'XLI': 0.9495631839250742, 'XAU': 0.05043681607492573}, 'realized_date': Timestamp('2012-01-31 00:00:00'), 'applied_weights_after_turnover_limit': {'^SP500TR': 0.39999999999999997, 'LT09TRUU': 0.4, 'XLB': 0.0, 'XLE': 0.0, 'XLF': 0.0, 'XLI': 0.18991263678501485, 'XLK': 0.0, 'XLY': 0.0, 'XLP': 0.0, 'XLU': 0.0, 'XLV': 0.0, 'XAU': 0.010087363214985146}, 'turnover': 0.2838629887018248, 'transaction_cost': 0.0001419314943509124, 'gross_simple_return': 0.036354719493904813, 'net_simple_return': 0.0362127879995539, 'window_size': 156, 'cash_weight': 0.0}</t>
  </si>
  <si>
    <t>{'Regime 0': 0.050850628925875226, 'Regime 1': 3.153991714150261e-08, 'Regime 2': 0.9491493395342077}</t>
  </si>
  <si>
    <t>{'XLI': 0.18982987421482497, 'XAU': 0.010170125785175045}</t>
  </si>
  <si>
    <t>{'^SP500TR': 0.39999999999999997, 'LT09TRUU': 0.4, 'XLI': 0.18982987421482497, 'XAU': 0.010170125785175045}</t>
  </si>
  <si>
    <t>{'selected_satellites_str': 'XLI, XAU', 'candidate_id': 914, 'base_satellite_weights': {'XLI': 0.2, 'XAU': 0.2}, 'conviction_scalar': {'XLI': 0.9491493710741248, 'XAU': 0.050850628925875226}, 'realized_date': Timestamp('2012-02-29 00:00:00'), 'applied_weights_after_turnover_limit': {'^SP500TR': 0.39999999999999997, 'LT09TRUU': 0.4, 'XLB': 0.0, 'XLE': 0.0, 'XLF': 0.0, 'XLI': 0.18982987421482497, 'XLK': 0.0, 'XLY': 0.0, 'XLP': 0.0, 'XLU': 0.0, 'XLV': 0.0, 'XAU': 0.010170125785175045}, 'turnover': 0.00016552514037978042, 'transaction_cost': 8.276257018989022e-08, 'gross_simple_return': 0.018223516850670748, 'net_simple_return': 0.018223434088100558, 'window_size': 157, 'cash_weight': 0.0}</t>
  </si>
  <si>
    <t>{'Regime 0': 8.775614885517608e-07, 'Regime 1': 0.02051891738244081, 'Regime 2': 0.9794802050560706}</t>
  </si>
  <si>
    <t>{'XLE': 0.1999998244877023, 'XAU': 1.7551229771035217e-07}</t>
  </si>
  <si>
    <t>{'^SP500TR': 0.39999999999999997, 'LT09TRUU': 0.4, 'XLE': 0.1999998244877023, 'XAU': 1.7551229771035217e-07}</t>
  </si>
  <si>
    <t>{'selected_satellites_str': 'XLE, XAU', 'candidate_id': 550, 'base_satellite_weights': {'XLE': 0.2, 'XAU': 0.2}, 'conviction_scalar': {'XLE': 0.9999991224385114, 'XAU': 8.775614885517608e-07}, 'realized_date': Timestamp('2012-03-31 00:00:00'), 'applied_weights_after_turnover_limit': {'^SP500TR': 0.39999999999999997, 'LT09TRUU': 0.4, 'XLB': 0.0, 'XLE': 0.1999998244877023, 'XLF': 0.0, 'XLI': 0.0, 'XLK': 0.0, 'XLY': 0.0, 'XLP': 0.0, 'XLU': 0.0, 'XLV': 0.0, 'XAU': 1.7551229771035217e-07}, 'turnover': 0.3999996489754046, 'transaction_cost': 0.00019999982448770228, 'gross_simple_return': -0.0012429194792215122, 'net_simple_return': -0.0014429193037092144, 'window_size': 158, 'cash_weight': 0.0}</t>
  </si>
  <si>
    <t>{'Regime 0': 1.4633758421557623e-10, 'Regime 1': 0.08913451360897312, 'Regime 2': 0.9108654862446893}</t>
  </si>
  <si>
    <t>{'XLE': 0.19999999997073248, 'XLI': 0.19999999997073248}</t>
  </si>
  <si>
    <t>{'^SP500TR': 0.20000000005853502, 'LT09TRUU': 0.4, 'XLE': 0.19999999997073248, 'XLI': 0.19999999997073248}</t>
  </si>
  <si>
    <t>{'selected_satellites_str': 'XLE, XLI', 'candidate_id': 382, 'base_satellite_weights': {'XLE': 0.2, 'XLI': 0.2}, 'conviction_scalar': {'XLE': 0.9999999998536624, 'XLI': 0.9999999998536624}, 'realized_date': Timestamp('2012-04-30 00:00:00'), 'applied_weights_after_turnover_limit': {'^SP500TR': 0.20000000005853502, 'LT09TRUU': 0.4, 'XLB': 0.0, 'XLE': 0.19999999997073248, 'XLF': 0.0, 'XLI': 0.19999999997073248, 'XLK': 0.0, 'XLY': 0.0, 'XLP': 0.0, 'XLU': 0.0, 'XLV': 0.0, 'XAU': 0.0}, 'turnover': 0.4000003509075253, 'transaction_cost': 0.00020000017545376264, 'gross_simple_return': 0.005127648614623937, 'net_simple_return': 0.004927648439170175, 'window_size': 159, 'cash_weight': 0.0}</t>
  </si>
  <si>
    <t>{'Regime 0': 0.05276944205939635, 'Regime 1': 4.148944572124882e-09, 'Regime 2': 0.9472305537916591}</t>
  </si>
  <si>
    <t>XLY, XAU</t>
  </si>
  <si>
    <t>{'XLY': 0.18944611158812075, 'XAU': 0.010553888411879271}</t>
  </si>
  <si>
    <t>{'^SP500TR': 0.39999999999999997, 'LT09TRUU': 0.4, 'XLY': 0.18944611158812075, 'XAU': 0.010553888411879271}</t>
  </si>
  <si>
    <t>{'selected_satellites_str': 'XLY, XAU', 'candidate_id': 1166, 'base_satellite_weights': {'XLY': 0.2, 'XAU': 0.2}, 'conviction_scalar': {'XLY': 0.9472305579406036, 'XAU': 0.05276944205939635}, 'realized_date': Timestamp('2012-05-31 00:00:00'), 'applied_weights_after_turnover_limit': {'^SP500TR': 0.39999999999999997, 'LT09TRUU': 0.4, 'XLB': 0.0, 'XLE': 0.0, 'XLF': 0.0, 'XLI': 0.0, 'XLK': 0.0, 'XLY': 0.18944611158812075, 'XLP': 0.0, 'XLU': 0.0, 'XLV': 0.0, 'XAU': 0.010553888411879271}, 'turnover': 0.79999999988293, 'transaction_cost': 0.00039999999994146503, 'gross_simple_return': -0.024956874511320958, 'net_simple_return': -0.025356874511262423, 'window_size': 160, 'cash_weight': 0.0}</t>
  </si>
  <si>
    <t>{'Regime 0': 0.0440984123236927, 'Regime 1': 0.05837787405377074, 'Regime 2': 0.8975237136225366}</t>
  </si>
  <si>
    <t>XLP, XAU</t>
  </si>
  <si>
    <t>{'XLP': 0.011024603080923175, 'XAU': 0.006614761848553905}</t>
  </si>
  <si>
    <t>{'^SP500TR': 0.5823606350705229, 'LT09TRUU': 0.4, 'XLP': 0.011024603080923175, 'XAU': 0.006614761848553905}</t>
  </si>
  <si>
    <t>{'selected_satellites_str': 'XLP, XAU', 'candidate_id': 1253, 'base_satellite_weights': {'XLP': 0.25, 'XAU': 0.15}, 'conviction_scalar': {'XLP': 0.0440984123236927, 'XAU': 0.0440984123236927}, 'realized_date': Timestamp('2012-06-30 00:00:00'), 'applied_weights_after_turnover_limit': {'^SP500TR': 0.5823606350705229, 'LT09TRUU': 0.4, 'XLB': 0.0, 'XLE': 0.0, 'XLF': 0.0, 'XLI': 0.0, 'XLK': 0.0, 'XLY': 0.0, 'XLP': 0.011024603080923175, 'XLU': 0.0, 'XLV': 0.0, 'XAU': 0.006614761848553905}, 'turnover': 0.38677047630289224, 'transaction_cost': 0.00019338523815144612, 'gross_simple_return': 0.022680055749379275, 'net_simple_return': 0.022486670511227828, 'window_size': 161, 'cash_weight': 0.0}</t>
  </si>
  <si>
    <t>{'Regime 0': 0.0011578731145282894, 'Regime 1': 0.1085554566108754, 'Regime 2': 0.8902866702745963}</t>
  </si>
  <si>
    <t>XLE, XLP</t>
  </si>
  <si>
    <t>{'XLE': 0.14982631903282076, 'XLP': 0.00028946827863207236}</t>
  </si>
  <si>
    <t>{'^SP500TR': 0.44988421268854717, 'LT09TRUU': 0.4, 'XLE': 0.14982631903282076, 'XLP': 0.00028946827863207236}</t>
  </si>
  <si>
    <t>{'selected_satellites_str': 'XLE, XLP', 'candidate_id': 462, 'base_satellite_weights': {'XLE': 0.15, 'XLP': 0.25}, 'conviction_scalar': {'XLE': 0.9988421268854717, 'XLP': 0.0011578731145282894}, 'realized_date': Timestamp('2012-07-31 00:00:00'), 'applied_weights_after_turnover_limit': {'^SP500TR': 0.44988421268854717, 'LT09TRUU': 0.4, 'XLB': 0.0, 'XLE': 0.14982631903282076, 'XLF': 0.0, 'XLI': 0.0, 'XLK': 0.0, 'XLY': 0.0, 'XLP': 0.00028946827863207236, 'XLU': 0.0, 'XLV': 0.0, 'XAU': 0.0}, 'turnover': 0.2996526380656415, 'transaction_cost': 0.00014982631903282076, 'gross_simple_return': 0.01902617844284413, 'net_simple_return': 0.01887635212381131, 'window_size': 162, 'cash_weight': 0.0}</t>
  </si>
  <si>
    <t>{'Regime 0': 0.00010434050286394361, 'Regime 1': 0.02022331667069028, 'Regime 2': 0.9796723428264458}</t>
  </si>
  <si>
    <t>{'XLP': 3.130215085918308e-05, 'XAU': 1.043405028639436e-05}</t>
  </si>
  <si>
    <t>{'^SP500TR': 0.5999582637988544, 'LT09TRUU': 0.4, 'XLP': 3.130215085918308e-05, 'XAU': 1.043405028639436e-05}</t>
  </si>
  <si>
    <t>{'selected_satellites_str': 'XLP, XAU', 'candidate_id': 1255, 'base_satellite_weights': {'XLP': 0.3, 'XAU': 0.1}, 'conviction_scalar': {'XLP': 0.00010434050286394361, 'XAU': 0.00010434050286394361}, 'realized_date': Timestamp('2012-08-31 00:00:00'), 'applied_weights_after_turnover_limit': {'^SP500TR': 0.5999582637988544, 'LT09TRUU': 0.4, 'XLB': 0.0, 'XLE': 0.0, 'XLF': 0.0, 'XLI': 0.0, 'XLK': 0.0, 'XLY': 0.0, 'XLP': 3.130215085918308e-05, 'XLU': 0.0, 'XLV': 0.0, 'XAU': 1.043405028639436e-05}, 'turnover': 0.3001689703211873, 'transaction_cost': 0.00015008448516059365, 'gross_simple_return': 0.013021767456961614, 'net_simple_return': 0.01287168297180102, 'window_size': 163, 'cash_weight': 0.0}</t>
  </si>
  <si>
    <t>{'Regime 0': 0.06405407739723519, 'Regime 1': 8.660053004668072e-07, 'Regime 2': 0.9359450565974644}</t>
  </si>
  <si>
    <t>{'XLY': 0.2339864806506912, 'XAU': 0.009608111609585279}</t>
  </si>
  <si>
    <t>{'^SP500TR': 0.3564054077397235, 'LT09TRUU': 0.4, 'XLY': 0.2339864806506912, 'XAU': 0.009608111609585279}</t>
  </si>
  <si>
    <t>{'selected_satellites_str': 'XLY, XAU', 'candidate_id': 1169, 'base_satellite_weights': {'XLY': 0.25, 'XAU': 0.15}, 'conviction_scalar': {'XLY': 0.9359459226027648, 'XAU': 0.06405407739723519}, 'realized_date': Timestamp('2012-09-30 00:00:00'), 'applied_weights_after_turnover_limit': {'^SP500TR': 0.3564054077397235, 'LT09TRUU': 0.4, 'XLB': 0.0, 'XLE': 0.0, 'XLF': 0.0, 'XLI': 0.0, 'XLK': 0.0, 'XLY': 0.2339864806506912, 'XLP': 0.0, 'XLU': 0.0, 'XLV': 0.0, 'XAU': 0.009608111609585279}, 'turnover': 0.48716831641998015, 'transaction_cost': 0.0002435841582099901, 'gross_simple_return': 0.015863453880071685, 'net_simple_return': 0.015619869721861695, 'window_size': 164, 'cash_weight': 0.0}</t>
  </si>
  <si>
    <t>{'Regime 0': 6.226731349919808e-07, 'Regime 1': 0.10236173307881254, 'Regime 2': 0.8976376442480525}</t>
  </si>
  <si>
    <t>{'XLY': 0.34999978206440274, 'XAU': 3.113365674959904e-08}</t>
  </si>
  <si>
    <t>{'^SP500TR': 0.25000018680194047, 'LT09TRUU': 0.4, 'XLY': 0.34999978206440274, 'XAU': 3.113365674959904e-08}</t>
  </si>
  <si>
    <t>{'selected_satellites_str': 'XLY, XAU', 'candidate_id': 1172, 'base_satellite_weights': {'XLY': 0.35, 'XAU': 0.05}, 'conviction_scalar': {'XLY': 0.9999993773268651, 'XAU': 6.226731349919808e-07}, 'realized_date': Timestamp('2012-10-31 00:00:00'), 'applied_weights_after_turnover_limit': {'^SP500TR': 0.25000018680194047, 'LT09TRUU': 0.4, 'XLB': 0.0, 'XLE': 0.0, 'XLF': 0.0, 'XLI': 0.0, 'XLK': 0.0, 'XLY': 0.34999978206440274, 'XLP': 0.0, 'XLU': 0.0, 'XLV': 0.0, 'XAU': 3.113365674959904e-08}, 'turnover': 0.23202660282742313, 'transaction_cost': 0.00011601330141371156, 'gross_simple_return': -0.011296196162417678, 'net_simple_return': -0.01141220946383139, 'window_size': 165, 'cash_weight': 0.0}</t>
  </si>
  <si>
    <t>{'Regime 0': 1.4682787932380984e-05, 'Regime 1': 0.13424191596081034, 'Regime 2': 0.8657434012512573}</t>
  </si>
  <si>
    <t>{'XLY': 0.39999412688482705}</t>
  </si>
  <si>
    <t>{'^SP500TR': 0.20000587311517293, 'LT09TRUU': 0.4, 'XLY': 0.39999412688482705}</t>
  </si>
  <si>
    <t>{'selected_satellites_str': 'XLY', 'candidate_id': 48, 'base_satellite_weights': {'XLY': 0.4}, 'conviction_scalar': {'XLY': 0.9999853172120676}, 'realized_date': Timestamp('2012-11-30 00:00:00'), 'applied_weights_after_turnover_limit': {'^SP500TR': 0.20000587311517293, 'LT09TRUU': 0.4, 'XLB': 0.0, 'XLE': 0.0, 'XLF': 0.0, 'XLI': 0.0, 'XLK': 0.0, 'XLY': 0.39999412688482705, 'XLP': 0.0, 'XLU': 0.0, 'XLV': 0.0, 'XAU': 0.0}, 'turnover': 0.0999886896408486, 'transaction_cost': 4.99943448204243e-05, 'gross_simple_return': 0.01779867420715, 'net_simple_return': 0.017748679862329576, 'window_size': 166, 'cash_weight': 0.0}</t>
  </si>
  <si>
    <t>{'Regime 0': 0.01184308634912877, 'Regime 1': 0.04658780232079575, 'Regime 2': 0.9415691113300755}</t>
  </si>
  <si>
    <t>{'XLY': 0.3458549197778049, 'XAU': 0.0005921543174564385}</t>
  </si>
  <si>
    <t>{'^SP500TR': 0.2535529259047386, 'LT09TRUU': 0.4, 'XLY': 0.3458549197778049, 'XAU': 0.0005921543174564385}</t>
  </si>
  <si>
    <t>{'selected_satellites_str': 'XLY, XAU', 'candidate_id': 1172, 'base_satellite_weights': {'XLY': 0.35, 'XAU': 0.05}, 'conviction_scalar': {'XLY': 0.9881569136508712, 'XAU': 0.01184308634912877}, 'realized_date': Timestamp('2012-12-31 00:00:00'), 'applied_weights_after_turnover_limit': {'^SP500TR': 0.2535529259047386, 'LT09TRUU': 0.4, 'XLB': 0.0, 'XLE': 0.0, 'XLF': 0.0, 'XLI': 0.0, 'XLK': 0.0, 'XLY': 0.3458549197778049, 'XLP': 0.0, 'XLU': 0.0, 'XLV': 0.0, 'XAU': 0.0005921543174564385}, 'turnover': 0.10827841421404424, 'transaction_cost': 5.413920710702212e-05, 'gross_simple_return': 0.0006069290491942119, 'net_simple_return': 0.0005527898420871898, 'window_size': 167, 'cash_weight': 0.0}</t>
  </si>
  <si>
    <t>{'Regime 0': 0.0005391147525476196, 'Regime 1': 0.03303881591777083, 'Regime 2': 0.9664220693296814}</t>
  </si>
  <si>
    <t>XLY, XLP</t>
  </si>
  <si>
    <t>{'XLY': 0.3498113098366083, 'XLP': 2.6955737627380985e-05}</t>
  </si>
  <si>
    <t>{'^SP500TR': 0.2501617344257643, 'LT09TRUU': 0.4, 'XLY': 0.3498113098366083, 'XLP': 2.6955737627380985e-05}</t>
  </si>
  <si>
    <t>{'selected_satellites_str': 'XLY, XLP', 'candidate_id': 1088, 'base_satellite_weights': {'XLY': 0.35, 'XLP': 0.05}, 'conviction_scalar': {'XLY': 0.9994608852474524, 'XLP': 0.0005391147525476196}, 'realized_date': Timestamp('2013-01-31 00:00:00'), 'applied_weights_after_turnover_limit': {'^SP500TR': 0.2501617344257643, 'LT09TRUU': 0.4, 'XLB': 0.0, 'XLE': 0.0, 'XLF': 0.0, 'XLI': 0.0, 'XLK': 0.0, 'XLY': 0.3498113098366083, 'XLP': 2.6955737627380985e-05, 'XLU': 0.0, 'XLV': 0.0, 'XAU': 0.0}, 'turnover': 0.007966691592861522, 'transaction_cost': 3.983345796430761e-06, 'gross_simple_return': 0.02610727322275184, 'net_simple_return': 0.02610328987695541, 'window_size': 168, 'cash_weight': 0.0}</t>
  </si>
  <si>
    <t>{'Regime 0': 6.773812950085495e-06, 'Regime 1': 0.021955416704200405, 'Regime 2': 0.9780378094828495}</t>
  </si>
  <si>
    <t>{'XLY': 0.39999729047481997}</t>
  </si>
  <si>
    <t>{'^SP500TR': 0.20000270952518, 'LT09TRUU': 0.4, 'XLY': 0.39999729047481997}</t>
  </si>
  <si>
    <t>{'selected_satellites_str': 'XLY', 'candidate_id': 48, 'base_satellite_weights': {'XLY': 0.4}, 'conviction_scalar': {'XLY': 0.9999932261870499}, 'realized_date': Timestamp('2013-02-28 00:00:00'), 'applied_weights_after_turnover_limit': {'^SP500TR': 0.20000270952518, 'LT09TRUU': 0.4, 'XLB': 0.0, 'XLE': 0.0, 'XLF': 0.0, 'XLI': 0.0, 'XLK': 0.0, 'XLY': 0.39999729047481997, 'XLP': 0.0, 'XLU': 0.0, 'XLV': 0.0, 'XAU': 0.0}, 'turnover': 0.10037196127642332, 'transaction_cost': 5.018598063821166e-05, 'gross_simple_return': 0.01354364902038464, 'net_simple_return': 0.013493463039746427, 'window_size': 169, 'cash_weight': 0.0}</t>
  </si>
  <si>
    <t>{'Regime 0': 6.245689736381561e-11, 'Regime 1': 0.10635312939297999, 'Regime 2': 0.8936468705445632}</t>
  </si>
  <si>
    <t>{'XLY': 0.39999999997501723}</t>
  </si>
  <si>
    <t>{'^SP500TR': 0.20000000002498275, 'LT09TRUU': 0.4, 'XLY': 0.39999999997501723}</t>
  </si>
  <si>
    <t>{'selected_satellites_str': 'XLY', 'candidate_id': 48, 'base_satellite_weights': {'XLY': 0.4}, 'conviction_scalar': {'XLY': 0.9999999999375431}, 'realized_date': Timestamp('2013-03-31 00:00:00'), 'applied_weights_after_turnover_limit': {'^SP500TR': 0.20000000002498275, 'LT09TRUU': 0.4, 'XLB': 0.0, 'XLE': 0.0, 'XLF': 0.0, 'XLI': 0.0, 'XLK': 0.0, 'XLY': 0.39999999997501723, 'XLP': 0.0, 'XLU': 0.0, 'XLV': 0.0, 'XAU': 0.0}, 'turnover': 5.419000394524254e-06, 'transaction_cost': 2.7095001972621267e-09, 'gross_simple_return': 0.026584018411148373, 'net_simple_return': 0.026584015701648176, 'window_size': 170, 'cash_weight': 0.0}</t>
  </si>
  <si>
    <t>{'Regime 0': 3.741163942636053e-15, 'Regime 1': 0.10597513333805414, 'Regime 2': 0.8940248666619421}</t>
  </si>
  <si>
    <t>{'XLY': 0.3999999999999985}</t>
  </si>
  <si>
    <t>{'^SP500TR': 0.20000000000000145, 'LT09TRUU': 0.4, 'XLY': 0.3999999999999985}</t>
  </si>
  <si>
    <t>{'selected_satellites_str': 'XLY', 'candidate_id': 48, 'base_satellite_weights': {'XLY': 0.4}, 'conviction_scalar': {'XLY': 0.9999999999999962}, 'realized_date': Timestamp('2013-04-30 00:00:00'), 'applied_weights_after_turnover_limit': {'^SP500TR': 0.20000000000000145, 'LT09TRUU': 0.4, 'XLB': 0.0, 'XLE': 0.0, 'XLF': 0.0, 'XLI': 0.0, 'XLK': 0.0, 'XLY': 0.3999999999999985, 'XLP': 0.0, 'XLU': 0.0, 'XLV': 0.0, 'XAU': 0.0}, 'turnover': 4.996258962108868e-11, 'transaction_cost': 2.4981294810544342e-14, 'gross_simple_return': 0.021697077514428224, 'net_simple_return': 0.021697077514403244, 'window_size': 171, 'cash_weight': 0.0}</t>
  </si>
  <si>
    <t>{'Regime 0': 4.5239275724806606e-08, 'Regime 1': 5.7766499893354234e-11, 'Regime 2': 0.9999999547029579}</t>
  </si>
  <si>
    <t>{'XLY': 0.3999999819042897}</t>
  </si>
  <si>
    <t>{'^SP500TR': 0.20000001809571027, 'LT09TRUU': 0.4, 'XLY': 0.3999999819042897}</t>
  </si>
  <si>
    <t>{'selected_satellites_str': 'XLY', 'candidate_id': 48, 'base_satellite_weights': {'XLY': 0.4}, 'conviction_scalar': {'XLY': 0.9999999547607242}, 'realized_date': Timestamp('2013-05-31 00:00:00'), 'applied_weights_after_turnover_limit': {'^SP500TR': 0.20000001809571027, 'LT09TRUU': 0.4, 'XLB': 0.0, 'XLE': 0.0, 'XLF': 0.0, 'XLI': 0.0, 'XLK': 0.0, 'XLY': 0.3999999819042897, 'XLP': 0.0, 'XLU': 0.0, 'XLV': 0.0, 'XAU': 0.0}, 'turnover': 3.6191417640552004e-08, 'transaction_cost': 1.8095708820276002e-11, 'gross_simple_return': 0.002583062174532758, 'net_simple_return': 0.002583062156437049, 'window_size': 172, 'cash_weight': 0.0}</t>
  </si>
  <si>
    <t>{'Regime 0': 2.0448805602728666e-05, 'Regime 1': 0.0799935627971407, 'Regime 2': 0.9199859883972566}</t>
  </si>
  <si>
    <t>{'XLY': 0.39999182047775894}</t>
  </si>
  <si>
    <t>{'^SP500TR': 0.20000817952224104, 'LT09TRUU': 0.4, 'XLY': 0.39999182047775894}</t>
  </si>
  <si>
    <t>{'selected_satellites_str': 'XLY', 'candidate_id': 48, 'base_satellite_weights': {'XLY': 0.4}, 'conviction_scalar': {'XLY': 0.9999795511943973}, 'realized_date': Timestamp('2013-06-30 00:00:00'), 'applied_weights_after_turnover_limit': {'^SP500TR': 0.20000817952224104, 'LT09TRUU': 0.4, 'XLB': 0.0, 'XLE': 0.0, 'XLF': 0.0, 'XLI': 0.0, 'XLK': 0.0, 'XLY': 0.39999182047775894, 'XLP': 0.0, 'XLU': 0.0, 'XLV': 0.0, 'XAU': 0.0}, 'turnover': 1.6322853061523368e-05, 'transaction_cost': 8.161426530761684e-09, 'gross_simple_return': -0.009174497258125861, 'net_simple_return': -0.009174505419552392, 'window_size': 173, 'cash_weight': 0.0}</t>
  </si>
  <si>
    <t>{'Regime 0': 0.0001277456816383867, 'Regime 1': 0.05672356267693531, 'Regime 2': 0.9431486916414263}</t>
  </si>
  <si>
    <t>{'XLY': 0.39994890172734465}</t>
  </si>
  <si>
    <t>{'^SP500TR': 0.20005109827265533, 'LT09TRUU': 0.4, 'XLY': 0.39994890172734465}</t>
  </si>
  <si>
    <t>{'selected_satellites_str': 'XLY', 'candidate_id': 48, 'base_satellite_weights': {'XLY': 0.4}, 'conviction_scalar': {'XLY': 0.9998722543183616}, 'realized_date': Timestamp('2013-07-31 00:00:00'), 'applied_weights_after_turnover_limit': {'^SP500TR': 0.20005109827265533, 'LT09TRUU': 0.4, 'XLB': 0.0, 'XLE': 0.0, 'XLF': 0.0, 'XLI': 0.0, 'XLK': 0.0, 'XLY': 0.39994890172734465, 'XLP': 0.0, 'XLU': 0.0, 'XLV': 0.0, 'XAU': 0.0}, 'turnover': 8.583750082857833e-05, 'transaction_cost': 4.291875041428916e-08, 'gross_simple_return': 0.029224334446966843, 'net_simple_return': 0.02922429152821643, 'window_size': 174, 'cash_weight': 0.0}</t>
  </si>
  <si>
    <t>{'Regime 0': 3.1844688620588356e-07, 'Regime 1': 2.9194358549669916e-06, 'Regime 2': 0.9999967621172589}</t>
  </si>
  <si>
    <t>{'XLY': 0.39999987262124553}</t>
  </si>
  <si>
    <t>{'^SP500TR': 0.20000012737875444, 'LT09TRUU': 0.4, 'XLY': 0.39999987262124553}</t>
  </si>
  <si>
    <t>{'selected_satellites_str': 'XLY', 'candidate_id': 48, 'base_satellite_weights': {'XLY': 0.4}, 'conviction_scalar': {'XLY': 0.9999996815531138}, 'realized_date': Timestamp('2013-08-31 00:00:00'), 'applied_weights_after_turnover_limit': {'^SP500TR': 0.20000012737875444, 'LT09TRUU': 0.4, 'XLB': 0.0, 'XLE': 0.0, 'XLF': 0.0, 'XLI': 0.0, 'XLK': 0.0, 'XLY': 0.39999987262124553, 'XLP': 0.0, 'XLU': 0.0, 'XLV': 0.0, 'XAU': 0.0}, 'turnover': 0.00010194178780176255, 'transaction_cost': 5.0970893900881276e-08, 'gross_simple_return': -0.021655826694537632, 'net_simple_return': -0.021655877665431533, 'window_size': 175, 'cash_weight': 0.0}</t>
  </si>
  <si>
    <t>{'Regime 0': 3.77907243518379e-08, 'Regime 1': 3.557448678133322e-09, 'Regime 2': 0.999999958651827}</t>
  </si>
  <si>
    <t>{'XLY': 0.3999999848837103}</t>
  </si>
  <si>
    <t>{'^SP500TR': 0.20000001511628968, 'LT09TRUU': 0.4, 'XLY': 0.3999999848837103}</t>
  </si>
  <si>
    <t>{'selected_satellites_str': 'XLY', 'candidate_id': 48, 'base_satellite_weights': {'XLY': 0.4}, 'conviction_scalar': {'XLY': 0.9999999622092757}, 'realized_date': Timestamp('2013-09-30 00:00:00'), 'applied_weights_after_turnover_limit': {'^SP500TR': 0.20000001511628968, 'LT09TRUU': 0.4, 'XLB': 0.0, 'XLE': 0.0, 'XLF': 0.0, 'XLI': 0.0, 'XLK': 0.0, 'XLY': 0.3999999848837103, 'XLP': 0.0, 'XLU': 0.0, 'XLV': 0.0, 'XAU': 0.0}, 'turnover': 2.2452492953739522e-07, 'transaction_cost': 1.1226246476869761e-10, 'gross_simple_return': 0.0339570692728757, 'net_simple_return': 0.03395706916061324, 'window_size': 176, 'cash_weight': 0.0}</t>
  </si>
  <si>
    <t>{'Regime 0': 0.05644830906132904, 'Regime 1': 0.0007061201856102465, 'Regime 2': 0.9428455707530606}</t>
  </si>
  <si>
    <t>{'XLY': 0.3774206763754684}</t>
  </si>
  <si>
    <t>{'^SP500TR': 0.2225793236245316, 'LT09TRUU': 0.4, 'XLY': 0.3774206763754684}</t>
  </si>
  <si>
    <t>{'selected_satellites_str': 'XLY', 'candidate_id': 48, 'base_satellite_weights': {'XLY': 0.4}, 'conviction_scalar': {'XLY': 0.943551690938671}, 'realized_date': Timestamp('2013-10-31 00:00:00'), 'applied_weights_after_turnover_limit': {'^SP500TR': 0.2225793236245316, 'LT09TRUU': 0.4, 'XLB': 0.0, 'XLE': 0.0, 'XLF': 0.0, 'XLI': 0.0, 'XLK': 0.0, 'XLY': 0.3774206763754684, 'XLP': 0.0, 'XLU': 0.0, 'XLV': 0.0, 'XAU': 0.0}, 'turnover': 0.045158617016483826, 'transaction_cost': 2.2579308508241914e-05, 'gross_simple_return': 0.030895311765266276, 'net_simple_return': 0.030872732456758034, 'window_size': 177, 'cash_weight': 0.0}</t>
  </si>
  <si>
    <t>{'Regime 0': 0.047324824344205624, 'Regime 1': 0.9526474375056423, 'Regime 2': 2.7738150152133746e-05}</t>
  </si>
  <si>
    <t>{'XLY': 0.38107007026231776}</t>
  </si>
  <si>
    <t>{'^SP500TR': 0.21892992973768222, 'LT09TRUU': 0.4, 'XLY': 0.38107007026231776}</t>
  </si>
  <si>
    <t>{'selected_satellites_str': 'XLY', 'candidate_id': 48, 'base_satellite_weights': {'XLY': 0.4}, 'conviction_scalar': {'XLY': 0.9526751756557944}, 'realized_date': Timestamp('2013-11-30 00:00:00'), 'applied_weights_after_turnover_limit': {'^SP500TR': 0.21892992973768222, 'LT09TRUU': 0.4, 'XLB': 0.0, 'XLE': 0.0, 'XLF': 0.0, 'XLI': 0.0, 'XLK': 0.0, 'XLY': 0.38107007026231776, 'XLP': 0.0, 'XLU': 0.0, 'XLV': 0.0, 'XAU': 0.0}, 'turnover': 0.007298787773698745, 'transaction_cost': 3.6493938868493727e-06, 'gross_simple_return': 0.01604490523807212, 'net_simple_return': 0.01604125584418527, 'window_size': 178, 'cash_weight': 0.0}</t>
  </si>
  <si>
    <t>{'Regime 0': 0.04843389506587065, 'Regime 1': 0.9515505851825717, 'Regime 2': 1.5519751557626918e-05}</t>
  </si>
  <si>
    <t>{'XLY': 0.38062644197365175}</t>
  </si>
  <si>
    <t>{'^SP500TR': 0.21937355802634823, 'LT09TRUU': 0.4, 'XLY': 0.38062644197365175}</t>
  </si>
  <si>
    <t>{'selected_satellites_str': 'XLY', 'candidate_id': 48, 'base_satellite_weights': {'XLY': 0.4}, 'conviction_scalar': {'XLY': 0.9515661049341293}, 'realized_date': Timestamp('2013-12-31 00:00:00'), 'applied_weights_after_turnover_limit': {'^SP500TR': 0.21937355802634823, 'LT09TRUU': 0.4, 'XLB': 0.0, 'XLE': 0.0, 'XLF': 0.0, 'XLI': 0.0, 'XLK': 0.0, 'XLY': 0.38062644197365175, 'XLP': 0.0, 'XLU': 0.0, 'XLV': 0.0, 'XAU': 0.0}, 'turnover': 0.0008872565773320185, 'transaction_cost': 4.4362828866600924e-07, 'gross_simple_return': 0.006327530825587045, 'net_simple_return': 0.006327087197298379, 'window_size': 179, 'cash_weight': 0.0}</t>
  </si>
  <si>
    <t>{'Regime 0': 0.00032480012099030434, 'Regime 1': 0.04712835469763613, 'Regime 2': 0.9525468451813736}</t>
  </si>
  <si>
    <t>{'XLY': 0.3998700799516039}</t>
  </si>
  <si>
    <t>{'^SP500TR': 0.20012992004839608, 'LT09TRUU': 0.4, 'XLY': 0.3998700799516039}</t>
  </si>
  <si>
    <t>{'selected_satellites_str': 'XLY', 'candidate_id': 48, 'base_satellite_weights': {'XLY': 0.4}, 'conviction_scalar': {'XLY': 0.9996751998790097}, 'realized_date': Timestamp('2014-01-31 00:00:00'), 'applied_weights_after_turnover_limit': {'^SP500TR': 0.20012992004839608, 'LT09TRUU': 0.4, 'XLB': 0.0, 'XLE': 0.0, 'XLF': 0.0, 'XLI': 0.0, 'XLK': 0.0, 'XLY': 0.3998700799516039, 'XLP': 0.0, 'XLU': 0.0, 'XLV': 0.0, 'XAU': 0.0}, 'turnover': 0.03848727595590429, 'transaction_cost': 1.9243637977952143e-05, 'gross_simple_return': -0.02095680143777701, 'net_simple_return': -0.020976045075754964, 'window_size': 180, 'cash_weight': 0.0}</t>
  </si>
  <si>
    <t>{'Regime 0': 0.05030560058108475, 'Regime 1': 0.9454651865122792, 'Regime 2': 0.004229212906635972}</t>
  </si>
  <si>
    <t>{'XLY': 0.3798777597675661}</t>
  </si>
  <si>
    <t>{'^SP500TR': 0.22012224023243387, 'LT09TRUU': 0.4, 'XLY': 0.3798777597675661}</t>
  </si>
  <si>
    <t>{'selected_satellites_str': 'XLY', 'candidate_id': 48, 'base_satellite_weights': {'XLY': 0.4}, 'conviction_scalar': {'XLY': 0.9496943994189152}, 'realized_date': Timestamp('2014-02-28 00:00:00'), 'applied_weights_after_turnover_limit': {'^SP500TR': 0.22012224023243387, 'LT09TRUU': 0.4, 'XLB': 0.0, 'XLE': 0.0, 'XLF': 0.0, 'XLI': 0.0, 'XLK': 0.0, 'XLY': 0.3798777597675661, 'XLP': 0.0, 'XLU': 0.0, 'XLV': 0.0, 'XAU': 0.0}, 'turnover': 0.039984640368075586, 'transaction_cost': 1.9992320184037792e-05, 'gross_simple_return': 0.036128553491298045, 'net_simple_return': 0.03610856117111401, 'window_size': 181, 'cash_weight': 0.0}</t>
  </si>
  <si>
    <t>{'Regime 0': 0.04672527581687817, 'Regime 1': 0.953003164008816, 'Regime 2': 0.00027156017430590294}</t>
  </si>
  <si>
    <t>{'XLY': 0.38130988967324875}</t>
  </si>
  <si>
    <t>{'^SP500TR': 0.21869011032675123, 'LT09TRUU': 0.4, 'XLY': 0.38130988967324875}</t>
  </si>
  <si>
    <t>{'selected_satellites_str': 'XLY', 'candidate_id': 48, 'base_satellite_weights': {'XLY': 0.4}, 'conviction_scalar': {'XLY': 0.9532747241831219}, 'realized_date': Timestamp('2014-03-31 00:00:00'), 'applied_weights_after_turnover_limit': {'^SP500TR': 0.21869011032675123, 'LT09TRUU': 0.4, 'XLB': 0.0, 'XLE': 0.0, 'XLF': 0.0, 'XLI': 0.0, 'XLK': 0.0, 'XLY': 0.38130988967324875, 'XLP': 0.0, 'XLU': 0.0, 'XLV': 0.0, 'XAU': 0.0}, 'turnover': 0.0028642598113652884, 'transaction_cost': 1.4321299056826442e-06, 'gross_simple_return': -0.011445516299900193, 'net_simple_return': -0.011446948429805875, 'window_size': 182, 'cash_weight': 0.0}</t>
  </si>
  <si>
    <t>{'Regime 0': 0.04540203454641099, 'Regime 1': 0.9545147090579076, 'Regime 2': 8.325639568136422e-05}</t>
  </si>
  <si>
    <t>{'XLY': 0.38183918618143564}</t>
  </si>
  <si>
    <t>{'^SP500TR': 0.21816081381856434, 'LT09TRUU': 0.4, 'XLY': 0.38183918618143564}</t>
  </si>
  <si>
    <t>{'selected_satellites_str': 'XLY', 'candidate_id': 48, 'base_satellite_weights': {'XLY': 0.4}, 'conviction_scalar': {'XLY': 0.954597965453589}, 'realized_date': Timestamp('2014-04-30 00:00:00'), 'applied_weights_after_turnover_limit': {'^SP500TR': 0.21816081381856434, 'LT09TRUU': 0.4, 'XLB': 0.0, 'XLE': 0.0, 'XLF': 0.0, 'XLI': 0.0, 'XLK': 0.0, 'XLY': 0.38183918618143564, 'XLP': 0.0, 'XLU': 0.0, 'XLV': 0.0, 'XAU': 0.0}, 'turnover': 0.0010585930163737878, 'transaction_cost': 5.292965081868939e-07, 'gross_simple_return': -0.00034421490249731914, 'net_simple_return': -0.00034474419900550605, 'window_size': 183, 'cash_weight': 0.0}</t>
  </si>
  <si>
    <t>{'Regime 0': 0.05072993759963838, 'Regime 1': 0.9489685468675828, 'Regime 2': 0.00030151553277875495}</t>
  </si>
  <si>
    <t>{'XLY': 0.37970802496014466}</t>
  </si>
  <si>
    <t>{'^SP500TR': 0.22029197503985531, 'LT09TRUU': 0.4, 'XLY': 0.37970802496014466}</t>
  </si>
  <si>
    <t>{'selected_satellites_str': 'XLY', 'candidate_id': 48, 'base_satellite_weights': {'XLY': 0.4}, 'conviction_scalar': {'XLY': 0.9492700624003616}, 'realized_date': Timestamp('2014-05-31 00:00:00'), 'applied_weights_after_turnover_limit': {'^SP500TR': 0.22029197503985531, 'LT09TRUU': 0.4, 'XLB': 0.0, 'XLE': 0.0, 'XLF': 0.0, 'XLI': 0.0, 'XLK': 0.0, 'XLY': 0.37970802496014466, 'XLP': 0.0, 'XLU': 0.0, 'XLV': 0.0, 'XAU': 0.0}, 'turnover': 0.004262322442581956, 'transaction_cost': 2.131161221290978e-06, 'gross_simple_return': 0.023697828235752384, 'net_simple_return': 0.02369569707453109, 'window_size': 184, 'cash_weight': 0.0}</t>
  </si>
  <si>
    <t>{'Regime 0': 0.047725051013154024, 'Regime 1': 0.9522258420329601, 'Regime 2': 4.910695388583175e-05}</t>
  </si>
  <si>
    <t>{'XLY': 0.3809099795947384}</t>
  </si>
  <si>
    <t>{'^SP500TR': 0.2190900204052616, 'LT09TRUU': 0.4, 'XLY': 0.3809099795947384}</t>
  </si>
  <si>
    <t>{'selected_satellites_str': 'XLY', 'candidate_id': 48, 'base_satellite_weights': {'XLY': 0.4}, 'conviction_scalar': {'XLY': 0.952274948986846}, 'realized_date': Timestamp('2014-06-30 00:00:00'), 'applied_weights_after_turnover_limit': {'^SP500TR': 0.2190900204052616, 'LT09TRUU': 0.4, 'XLB': 0.0, 'XLE': 0.0, 'XLF': 0.0, 'XLI': 0.0, 'XLK': 0.0, 'XLY': 0.3809099795947384, 'XLP': 0.0, 'XLU': 0.0, 'XLV': 0.0, 'XAU': 0.0}, 'turnover': 0.002403909269187432, 'transaction_cost': 1.201954634593716e-06, 'gross_simple_return': 0.010892288484274301, 'net_simple_return': 0.010891086529639708, 'window_size': 185, 'cash_weight': 0.0}</t>
  </si>
  <si>
    <t>{'Regime 0': 0.05353360161627323, 'Regime 1': 0.9463166559471333, 'Regime 2': 0.00014974243659350686}</t>
  </si>
  <si>
    <t>{'XLY': 0.3785865593534907}</t>
  </si>
  <si>
    <t>{'^SP500TR': 0.22141344064650925, 'LT09TRUU': 0.4, 'XLY': 0.3785865593534907}</t>
  </si>
  <si>
    <t>{'selected_satellites_str': 'XLY', 'candidate_id': 48, 'base_satellite_weights': {'XLY': 0.4}, 'conviction_scalar': {'XLY': 0.9464663983837268}, 'realized_date': Timestamp('2014-07-31 00:00:00'), 'applied_weights_after_turnover_limit': {'^SP500TR': 0.22141344064650925, 'LT09TRUU': 0.4, 'XLB': 0.0, 'XLE': 0.0, 'XLF': 0.0, 'XLI': 0.0, 'XLK': 0.0, 'XLY': 0.3785865593534907, 'XLP': 0.0, 'XLU': 0.0, 'XLV': 0.0, 'XAU': 0.0}, 'turnover': 0.004646840482495307, 'transaction_cost': 2.3234202412476535e-06, 'gross_simple_return': -0.00904161861331959, 'net_simple_return': -0.009043942033560839, 'window_size': 186, 'cash_weight': 0.0}</t>
  </si>
  <si>
    <t>{'Regime 0': 0.048034133388095056, 'Regime 1': 0.9519658364658184, 'Regime 2': 3.014608646606115e-08}</t>
  </si>
  <si>
    <t>{'XLY': 0.380786346644762}</t>
  </si>
  <si>
    <t>{'^SP500TR': 0.21921365335523796, 'LT09TRUU': 0.4, 'XLY': 0.380786346644762}</t>
  </si>
  <si>
    <t>{'selected_satellites_str': 'XLY', 'candidate_id': 48, 'base_satellite_weights': {'XLY': 0.4}, 'conviction_scalar': {'XLY': 0.951965866611905}, 'realized_date': Timestamp('2014-08-31 00:00:00'), 'applied_weights_after_turnover_limit': {'^SP500TR': 0.21921365335523796, 'LT09TRUU': 0.4, 'XLB': 0.0, 'XLE': 0.0, 'XLF': 0.0, 'XLI': 0.0, 'XLK': 0.0, 'XLY': 0.380786346644762, 'XLP': 0.0, 'XLU': 0.0, 'XLV': 0.0, 'XAU': 0.0}, 'turnover': 0.004399574582542587, 'transaction_cost': 2.1997872912712935e-06, 'gross_simple_return': 0.03303483067657813, 'net_simple_return': 0.03303263088928686, 'window_size': 187, 'cash_weight': 0.0}</t>
  </si>
  <si>
    <t>{'Regime 0': 0.04712926138604779, 'Regime 1': 0.9528707320257815, 'Regime 2': 6.588170694282822e-09}</t>
  </si>
  <si>
    <t>{'XLY': 0.38114829544558093}</t>
  </si>
  <si>
    <t>{'^SP500TR': 0.21885170455441905, 'LT09TRUU': 0.4, 'XLY': 0.38114829544558093}</t>
  </si>
  <si>
    <t>{'selected_satellites_str': 'XLY', 'candidate_id': 48, 'base_satellite_weights': {'XLY': 0.4}, 'conviction_scalar': {'XLY': 0.9528707386139522}, 'realized_date': Timestamp('2014-09-30 00:00:00'), 'applied_weights_after_turnover_limit': {'^SP500TR': 0.21885170455441905, 'LT09TRUU': 0.4, 'XLB': 0.0, 'XLE': 0.0, 'XLF': 0.0, 'XLI': 0.0, 'XLK': 0.0, 'XLY': 0.38114829544558093, 'XLP': 0.0, 'XLU': 0.0, 'XLV': 0.0, 'XAU': 0.0}, 'turnover': 0.000723897601637824, 'transaction_cost': 3.61948800818912e-07, 'gross_simple_return': -0.01794766731604929, 'net_simple_return': -0.01794802926485011, 'window_size': 188, 'cash_weight': 0.0}</t>
  </si>
  <si>
    <t>{'Regime 0': 0.0487490743528755, 'Regime 1': 0.9511227470111462, 'Regime 2': 0.00012817863597838514}</t>
  </si>
  <si>
    <t>{'XLY': 0.38050037025884986}</t>
  </si>
  <si>
    <t>{'^SP500TR': 0.21949962974115012, 'LT09TRUU': 0.4, 'XLY': 0.38050037025884986}</t>
  </si>
  <si>
    <t>{'selected_satellites_str': 'XLY', 'candidate_id': 48, 'base_satellite_weights': {'XLY': 0.4}, 'conviction_scalar': {'XLY': 0.9512509256471245}, 'realized_date': Timestamp('2014-10-31 00:00:00'), 'applied_weights_after_turnover_limit': {'^SP500TR': 0.21949962974115012, 'LT09TRUU': 0.4, 'XLB': 0.0, 'XLE': 0.0, 'XLF': 0.0, 'XLI': 0.0, 'XLK': 0.0, 'XLY': 0.38050037025884986, 'XLP': 0.0, 'XLU': 0.0, 'XLV': 0.0, 'XAU': 0.0}, 'turnover': 0.0012958503734621374, 'transaction_cost': 6.479251867310687e-07, 'gross_simple_return': 0.019896641741574204, 'net_simple_return': 0.019895993816387472, 'window_size': 189, 'cash_weight': 0.0}</t>
  </si>
  <si>
    <t>{'Regime 0': 0.054717289866962386, 'Regime 1': 0.9451306160380327, 'Regime 2': 0.00015209409500489775}</t>
  </si>
  <si>
    <t>{'XLY': 0.3781130840532151}</t>
  </si>
  <si>
    <t>{'^SP500TR': 0.2218869159467849, 'LT09TRUU': 0.4, 'XLY': 0.3781130840532151}</t>
  </si>
  <si>
    <t>{'selected_satellites_str': 'XLY', 'candidate_id': 48, 'base_satellite_weights': {'XLY': 0.4}, 'conviction_scalar': {'XLY': 0.9452827101330377}, 'realized_date': Timestamp('2014-11-30 00:00:00'), 'applied_weights_after_turnover_limit': {'^SP500TR': 0.2218869159467849, 'LT09TRUU': 0.4, 'XLB': 0.0, 'XLE': 0.0, 'XLF': 0.0, 'XLI': 0.0, 'XLK': 0.0, 'XLY': 0.3781130840532151, 'XLP': 0.0, 'XLU': 0.0, 'XLV': 0.0, 'XAU': 0.0}, 'turnover': 0.004774572411269551, 'transaction_cost': 2.3872862056347756e-06, 'gross_simple_return': 0.03158822399902957, 'net_simple_return': 0.03158583671282394, 'window_size': 190, 'cash_weight': 0.0}</t>
  </si>
  <si>
    <t>{'Regime 0': 0.0001503173387178438, 'Regime 1': 0.04825836444945914, 'Regime 2': 0.951591318211823}</t>
  </si>
  <si>
    <t>{'XLY': 0.3999398730645129}</t>
  </si>
  <si>
    <t>{'^SP500TR': 0.20006012693548708, 'LT09TRUU': 0.4, 'XLY': 0.3999398730645129}</t>
  </si>
  <si>
    <t>{'selected_satellites_str': 'XLY', 'candidate_id': 48, 'base_satellite_weights': {'XLY': 0.4}, 'conviction_scalar': {'XLY': 0.9998496826612822}, 'realized_date': Timestamp('2014-12-31 00:00:00'), 'applied_weights_after_turnover_limit': {'^SP500TR': 0.20006012693548708, 'LT09TRUU': 0.4, 'XLB': 0.0, 'XLE': 0.0, 'XLF': 0.0, 'XLI': 0.0, 'XLK': 0.0, 'XLY': 0.3999398730645129, 'XLP': 0.0, 'XLU': 0.0, 'XLV': 0.0, 'XAU': 0.0}, 'turnover': 0.04365357802259562, 'transaction_cost': 2.182678901129781e-05, 'gross_simple_return': 0.0037610732739843155, 'net_simple_return': 0.003739246484973018, 'window_size': 191, 'cash_weight': 0.0}</t>
  </si>
  <si>
    <t>{'Regime 0': 0.06478785708022189, 'Regime 1': 0.9351784418091499, 'Regime 2': 3.3701110628276364e-05}</t>
  </si>
  <si>
    <t>{'XLY': 0.3740848571679113}</t>
  </si>
  <si>
    <t>{'^SP500TR': 0.2259151428320887, 'LT09TRUU': 0.4, 'XLY': 0.3740848571679113}</t>
  </si>
  <si>
    <t>{'selected_satellites_str': 'XLY', 'candidate_id': 48, 'base_satellite_weights': {'XLY': 0.4}, 'conviction_scalar': {'XLY': 0.9352121429197782}, 'realized_date': Timestamp('2015-01-31 00:00:00'), 'applied_weights_after_turnover_limit': {'^SP500TR': 0.2259151428320887, 'LT09TRUU': 0.4, 'XLB': 0.0, 'XLE': 0.0, 'XLF': 0.0, 'XLI': 0.0, 'XLK': 0.0, 'XLY': 0.3740848571679113, 'XLP': 0.0, 'XLU': 0.0, 'XLV': 0.0, 'XAU': 0.0}, 'turnover': 0.051710031793203215, 'transaction_cost': 2.5855015896601607e-05, 'gross_simple_return': -0.002331512155874045, 'net_simple_return': -0.0023573671717706467, 'window_size': 192, 'cash_weight': 0.0}</t>
  </si>
  <si>
    <t>{'Regime 0': 0.15095869338594284, 'Regime 1': 0.6616855488554969, 'Regime 2': 0.18735575775856037}</t>
  </si>
  <si>
    <t>{'XLY': 0.3396165226456229}</t>
  </si>
  <si>
    <t>{'^SP500TR': 0.26038347735437706, 'LT09TRUU': 0.4, 'XLY': 0.3396165226456229}</t>
  </si>
  <si>
    <t>{'selected_satellites_str': 'XLY', 'candidate_id': 48, 'base_satellite_weights': {'XLY': 0.4}, 'conviction_scalar': {'XLY': 0.8490413066140572}, 'realized_date': Timestamp('2015-02-28 00:00:00'), 'applied_weights_after_turnover_limit': {'^SP500TR': 0.26038347735437706, 'LT09TRUU': 0.4, 'XLB': 0.0, 'XLE': 0.0, 'XLF': 0.0, 'XLI': 0.0, 'XLK': 0.0, 'XLY': 0.3396165226456229, 'XLP': 0.0, 'XLU': 0.0, 'XLV': 0.0, 'XAU': 0.0}, 'turnover': 0.06893666904457674, 'transaction_cost': 3.446833452228837e-05, 'gross_simple_return': 0.03359386727390418, 'net_simple_return': 0.03355939893938189, 'window_size': 193, 'cash_weight': 0.0}</t>
  </si>
  <si>
    <t>{'Regime 0': 0.18536070316702988, 'Regime 1': 0.8146235654436713, 'Regime 2': 1.573138929889451e-05}</t>
  </si>
  <si>
    <t>XLY, XLV</t>
  </si>
  <si>
    <t>{'XLY': 0.08146392968329702, 'XLV': 0.05560821095010896}</t>
  </si>
  <si>
    <t>{'^SP500TR': 0.462927859366594, 'LT09TRUU': 0.4, 'XLY': 0.08146392968329702, 'XLV': 0.05560821095010896}</t>
  </si>
  <si>
    <t>{'selected_satellites_str': 'XLY, XLV', 'candidate_id': 1129, 'base_satellite_weights': {'XLY': 0.1, 'XLV': 0.3}, 'conviction_scalar': {'XLY': 0.8146392968329701, 'XLV': 0.18536070316702988}, 'realized_date': Timestamp('2015-03-31 00:00:00'), 'applied_weights_after_turnover_limit': {'^SP500TR': 0.462927859366594, 'LT09TRUU': 0.4, 'XLB': 0.0, 'XLE': 0.0, 'XLF': 0.0, 'XLI': 0.0, 'XLK': 0.0, 'XLY': 0.08146392968329702, 'XLP': 0.0, 'XLU': 0.0, 'XLV': 0.05560821095010896, 'XAU': 0.0}, 'turnover': 0.5163051859246518, 'transaction_cost': 0.0002581525929623259, 'gross_simple_return': -0.003967766520736195, 'net_simple_return': -0.004225919113698521, 'window_size': 194, 'cash_weight': 0.0}</t>
  </si>
  <si>
    <t>{'Regime 0': 0.07488107806270969, 'Regime 1': 0.9247473306573297, 'Regime 2': 0.00037159127996059377}</t>
  </si>
  <si>
    <t>{'XLY': 0.3700475687749161}</t>
  </si>
  <si>
    <t>{'^SP500TR': 0.22995243122508385, 'LT09TRUU': 0.4, 'XLY': 0.3700475687749161}</t>
  </si>
  <si>
    <t>{'selected_satellites_str': 'XLY', 'candidate_id': 48, 'base_satellite_weights': {'XLY': 0.4}, 'conviction_scalar': {'XLY': 0.9251189219372903}, 'realized_date': Timestamp('2015-04-30 00:00:00'), 'applied_weights_after_turnover_limit': {'^SP500TR': 0.22995243122508385, 'LT09TRUU': 0.4, 'XLB': 0.0, 'XLE': 0.0, 'XLF': 0.0, 'XLI': 0.0, 'XLK': 0.0, 'XLY': 0.3700475687749161, 'XLP': 0.0, 'XLU': 0.0, 'XLV': 0.0, 'XAU': 0.0}, 'turnover': 0.5771672781832381, 'transaction_cost': 0.00028858363909161906, 'gross_simple_return': -0.0004508713468968785, 'net_simple_return': -0.0007394549859884975, 'window_size': 195, 'cash_weight': 0.0}</t>
  </si>
  <si>
    <t>{'Regime 0': 0.03767449335860107, 'Regime 1': 0.9622787295883233, 'Regime 2': 4.6777053075665414e-05}</t>
  </si>
  <si>
    <t>{'XLV': 0.015069797343440428}</t>
  </si>
  <si>
    <t>{'^SP500TR': 0.5849302026565596, 'LT09TRUU': 0.4, 'XLV': 0.015069797343440428}</t>
  </si>
  <si>
    <t>{'selected_satellites_str': 'XLV', 'candidate_id': 72, 'base_satellite_weights': {'XLV': 0.4}, 'conviction_scalar': {'XLV': 0.03767449335860107}, 'realized_date': Timestamp('2015-05-31 00:00:00'), 'applied_weights_after_turnover_limit': {'^SP500TR': 0.5849302026565596, 'LT09TRUU': 0.4, 'XLB': 0.0, 'XLE': 0.0, 'XLF': 0.0, 'XLI': 0.0, 'XLK': 0.0, 'XLY': 0.0, 'XLP': 0.0, 'XLU': 0.0, 'XLV': 0.015069797343440428, 'XAU': 0.0}, 'turnover': 0.7400951375498322, 'transaction_cost': 0.00037004756877491614, 'gross_simple_return': 0.0074176285122398425, 'net_simple_return': 0.007047580943464926, 'window_size': 196, 'cash_weight': 0.0}</t>
  </si>
  <si>
    <t>{'Regime 0': 0.045960185494564654, 'Regime 1': 0.9540388771105262, 'Regime 2': 9.373949092562359e-07}</t>
  </si>
  <si>
    <t>{'XLV': 0.018384074197825864}</t>
  </si>
  <si>
    <t>{'^SP500TR': 0.5816159258021741, 'LT09TRUU': 0.4, 'XLV': 0.018384074197825864}</t>
  </si>
  <si>
    <t>{'selected_satellites_str': 'XLV', 'candidate_id': 72, 'base_satellite_weights': {'XLV': 0.4}, 'conviction_scalar': {'XLV': 0.045960185494564654}, 'realized_date': Timestamp('2015-06-30 00:00:00'), 'applied_weights_after_turnover_limit': {'^SP500TR': 0.5816159258021741, 'LT09TRUU': 0.4, 'XLB': 0.0, 'XLE': 0.0, 'XLF': 0.0, 'XLI': 0.0, 'XLK': 0.0, 'XLY': 0.0, 'XLP': 0.0, 'XLU': 0.0, 'XLV': 0.018384074197825864, 'XAU': 0.0}, 'turnover': 0.0066285537087708915, 'transaction_cost': 3.314276854385446e-06, 'gross_simple_return': -0.017928042562730045, 'net_simple_return': -0.01793135683958443, 'window_size': 197, 'cash_weight': 0.0}</t>
  </si>
  <si>
    <t>{'Regime 0': 0.04717818623619903, 'Regime 1': 0.9527998106104649, 'Regime 2': 2.2003153336001264e-05}</t>
  </si>
  <si>
    <t>{'XLV': 0.018871274494479614}</t>
  </si>
  <si>
    <t>{'^SP500TR': 0.5811287255055204, 'LT09TRUU': 0.4, 'XLV': 0.018871274494479614}</t>
  </si>
  <si>
    <t>{'selected_satellites_str': 'XLV', 'candidate_id': 72, 'base_satellite_weights': {'XLV': 0.4}, 'conviction_scalar': {'XLV': 0.04717818623619903}, 'realized_date': Timestamp('2015-07-31 00:00:00'), 'applied_weights_after_turnover_limit': {'^SP500TR': 0.5811287255055204, 'LT09TRUU': 0.4, 'XLB': 0.0, 'XLE': 0.0, 'XLF': 0.0, 'XLI': 0.0, 'XLK': 0.0, 'XLY': 0.0, 'XLP': 0.0, 'XLU': 0.0, 'XLV': 0.018871274494479614, 'XAU': 0.0}, 'turnover': 0.0009744005933074729, 'transaction_cost': 4.872002966537364e-07, 'gross_simple_return': 0.017610350144591072, 'net_simple_return': 0.017609862944294417, 'window_size': 198, 'cash_weight': 0.0}</t>
  </si>
  <si>
    <t>{'Regime 0': 0.05230110461742446, 'Regime 1': 0.944368427208991, 'Regime 2': 0.0033304681735846532}</t>
  </si>
  <si>
    <t>{'XLY': 0.04738494476912878, 'XLV': 0.01830538661609856}</t>
  </si>
  <si>
    <t>{'^SP500TR': 0.5343096686147726, 'LT09TRUU': 0.4, 'XLY': 0.04738494476912878, 'XLV': 0.01830538661609856}</t>
  </si>
  <si>
    <t>{'selected_satellites_str': 'XLY, XLV', 'candidate_id': 1123, 'base_satellite_weights': {'XLY': 0.05, 'XLV': 0.35}, 'conviction_scalar': {'XLY': 0.9476988953825756, 'XLV': 0.05230110461742446}, 'realized_date': Timestamp('2015-08-31 00:00:00'), 'applied_weights_after_turnover_limit': {'^SP500TR': 0.5343096686147726, 'LT09TRUU': 0.4, 'XLB': 0.0, 'XLE': 0.0, 'XLF': 0.0, 'XLI': 0.0, 'XLK': 0.0, 'XLY': 0.04738494476912878, 'XLP': 0.0, 'XLU': 0.0, 'XLV': 0.01830538661609856, 'XAU': 0.0}, 'turnover': 0.09476988953825766, 'transaction_cost': 4.738494476912883e-05, 'gross_simple_return': -0.03626317617843397, 'net_simple_return': -0.0363105611232031, 'window_size': 199, 'cash_weight': 0.0}</t>
  </si>
  <si>
    <t>{'Regime 0': 0.20435504971494742, 'Regime 1': 0.5591331781386021, 'Regime 2': 0.23651177214645064}</t>
  </si>
  <si>
    <t>{'XLV': 0.08174201988597897}</t>
  </si>
  <si>
    <t>{'^SP500TR': 0.518257980114021, 'LT09TRUU': 0.4, 'XLV': 0.08174201988597897}</t>
  </si>
  <si>
    <t>{'selected_satellites_str': 'XLV', 'candidate_id': 72, 'base_satellite_weights': {'XLV': 0.4}, 'conviction_scalar': {'XLV': 0.20435504971494742}, 'realized_date': Timestamp('2015-09-30 00:00:00'), 'applied_weights_after_turnover_limit': {'^SP500TR': 0.518257980114021, 'LT09TRUU': 0.4, 'XLB': 0.0, 'XLE': 0.0, 'XLF': 0.0, 'XLI': 0.0, 'XLK': 0.0, 'XLY': 0.0, 'XLP': 0.0, 'XLU': 0.0, 'XLV': 0.08174201988597897, 'XAU': 0.0}, 'turnover': 0.12687326653976075, 'transaction_cost': 6.343663326988038e-05, 'gross_simple_return': -0.011872275652468666, 'net_simple_return': -0.011935712285738547, 'window_size': 200, 'cash_weight': 0.0}</t>
  </si>
  <si>
    <t>{'Regime 0': 0.4326356022036688, 'Regime 1': 0.04817447179775627, 'Regime 2': 0.5191899259985749}</t>
  </si>
  <si>
    <t>{'XLY': 0.05673643977963312, 'XLV': 0.12979068066110064}</t>
  </si>
  <si>
    <t>{'^SP500TR': 0.4134728795592662, 'LT09TRUU': 0.4, 'XLY': 0.05673643977963312, 'XLV': 0.12979068066110064}</t>
  </si>
  <si>
    <t>{'selected_satellites_str': 'XLY, XLV', 'candidate_id': 1129, 'base_satellite_weights': {'XLY': 0.1, 'XLV': 0.3}, 'conviction_scalar': {'XLY': 0.5673643977963312, 'XLV': 0.4326356022036688}, 'realized_date': Timestamp('2015-10-31 00:00:00'), 'applied_weights_after_turnover_limit': {'^SP500TR': 0.4134728795592662, 'LT09TRUU': 0.4, 'XLB': 0.0, 'XLE': 0.0, 'XLF': 0.0, 'XLI': 0.0, 'XLK': 0.0, 'XLY': 0.05673643977963312, 'XLP': 0.0, 'XLU': 0.0, 'XLV': 0.12979068066110064, 'XAU': 0.0}, 'turnover': 0.20957020110950958, 'transaction_cost': 0.0001047851005547548, 'gross_simple_return': 0.04667562800130259, 'net_simple_return': 0.04657084290074783, 'window_size': 201, 'cash_weight': 0.0}</t>
  </si>
  <si>
    <t>{'Regime 0': 0.0003018888465086212, 'Regime 1': 0.9996657639401293, 'Regime 2': 3.2347213362074035e-05}</t>
  </si>
  <si>
    <t>{'XLV': 0.0001207555386034485}</t>
  </si>
  <si>
    <t>{'^SP500TR': 0.5998792444613965, 'LT09TRUU': 0.4, 'XLV': 0.0001207555386034485}</t>
  </si>
  <si>
    <t>{'selected_satellites_str': 'XLV', 'candidate_id': 72, 'base_satellite_weights': {'XLV': 0.4}, 'conviction_scalar': {'XLV': 0.0003018888465086212}, 'realized_date': Timestamp('2015-11-30 00:00:00'), 'applied_weights_after_turnover_limit': {'^SP500TR': 0.5998792444613965, 'LT09TRUU': 0.4, 'XLB': 0.0, 'XLE': 0.0, 'XLF': 0.0, 'XLI': 0.0, 'XLK': 0.0, 'XLY': 0.0, 'XLP': 0.0, 'XLU': 0.0, 'XLV': 0.0001207555386034485, 'XAU': 0.0}, 'turnover': 0.3728127298042606, 'transaction_cost': 0.0001864063649021303, 'gross_simple_return': 9.192306992214821e-05, 'net_simple_return': -9.44832949799821e-05, 'window_size': 202, 'cash_weight': 0.0}</t>
  </si>
  <si>
    <t>{'Regime 0': 0.09819118276482662, 'Regime 1': 0.9018073150459168, 'Regime 2': 1.5021892565674096e-06}</t>
  </si>
  <si>
    <t>{'XLV': 0.03927647310593065}</t>
  </si>
  <si>
    <t>{'^SP500TR': 0.5607235268940693, 'LT09TRUU': 0.4, 'XLV': 0.03927647310593065}</t>
  </si>
  <si>
    <t>{'selected_satellites_str': 'XLV', 'candidate_id': 72, 'base_satellite_weights': {'XLV': 0.4}, 'conviction_scalar': {'XLV': 0.09819118276482662}, 'realized_date': Timestamp('2015-12-31 00:00:00'), 'applied_weights_after_turnover_limit': {'^SP500TR': 0.5607235268940693, 'LT09TRUU': 0.4, 'XLB': 0.0, 'XLE': 0.0, 'XLF': 0.0, 'XLI': 0.0, 'XLK': 0.0, 'XLY': 0.0, 'XLP': 0.0, 'XLU': 0.0, 'XLV': 0.03927647310593065, 'XAU': 0.0}, 'turnover': 0.07831143513465437, 'transaction_cost': 3.9155717567327186e-05, 'gross_simple_return': -0.009509957180265278, 'net_simple_return': -0.009549112897832605, 'window_size': 203, 'cash_weight': 0.0}</t>
  </si>
  <si>
    <t>{'Regime 0': 0.09665308884477805, 'Regime 1': 0.9015149852731111, 'Regime 2': 0.0018319258821107934}</t>
  </si>
  <si>
    <t>{'XLV': 0.038661235537911225}</t>
  </si>
  <si>
    <t>{'^SP500TR': 0.5613387644620887, 'LT09TRUU': 0.4, 'XLV': 0.038661235537911225}</t>
  </si>
  <si>
    <t>{'selected_satellites_str': 'XLV', 'candidate_id': 72, 'base_satellite_weights': {'XLV': 0.4}, 'conviction_scalar': {'XLV': 0.09665308884477805}, 'realized_date': Timestamp('2016-01-31 00:00:00'), 'applied_weights_after_turnover_limit': {'^SP500TR': 0.5613387644620887, 'LT09TRUU': 0.4, 'XLB': 0.0, 'XLE': 0.0, 'XLF': 0.0, 'XLI': 0.0, 'XLK': 0.0, 'XLY': 0.0, 'XLP': 0.0, 'XLU': 0.0, 'XLV': 0.038661235537911225, 'XAU': 0.0}, 'turnover': 0.0012304751360388277, 'transaction_cost': 6.152375680194139e-07, 'gross_simple_return': -0.019055192002090802, 'net_simple_return': -0.01905580723965882, 'window_size': 204, 'cash_weight': 0.0}</t>
  </si>
  <si>
    <t>{'Regime 0': 0.3893003240987368, 'Regime 1': 0.04898856662447206, 'Regime 2': 0.5617111092767912}</t>
  </si>
  <si>
    <t>XLP, XLV</t>
  </si>
  <si>
    <t>{'XLP': 0.11679009722962104, 'XLV': 0.03893003240987369}</t>
  </si>
  <si>
    <t>{'^SP500TR': 0.44427987036050526, 'LT09TRUU': 0.4, 'XLP': 0.11679009722962104, 'XLV': 0.03893003240987369}</t>
  </si>
  <si>
    <t>{'selected_satellites_str': 'XLP, XLV', 'candidate_id': 1227, 'base_satellite_weights': {'XLP': 0.3, 'XLV': 0.1}, 'conviction_scalar': {'XLP': 0.3893003240987368, 'XLV': 0.3893003240987368}, 'realized_date': Timestamp('2016-02-29 00:00:00'), 'applied_weights_after_turnover_limit': {'^SP500TR': 0.44427987036050526, 'LT09TRUU': 0.4, 'XLB': 0.0, 'XLE': 0.0, 'XLF': 0.0, 'XLI': 0.0, 'XLK': 0.0, 'XLY': 0.0, 'XLP': 0.11679009722962104, 'XLU': 0.0, 'XLV': 0.03893003240987369, 'XAU': 0.0}, 'turnover': 0.23411778820316698, 'transaction_cost': 0.00011705889410158349, 'gross_simple_return': 0.005570665087857819, 'net_simple_return': 0.005453606193756236, 'window_size': 205, 'cash_weight': 0.0}</t>
  </si>
  <si>
    <t>{'Regime 0': 0.1735526691030956, 'Regime 1': 0.45307854128794506, 'Regime 2': 0.3733687896089595}</t>
  </si>
  <si>
    <t>{'XLV': 0.06942106764123825}</t>
  </si>
  <si>
    <t>{'^SP500TR': 0.5305789323587617, 'LT09TRUU': 0.4, 'XLV': 0.06942106764123825}</t>
  </si>
  <si>
    <t>{'selected_satellites_str': 'XLV', 'candidate_id': 72, 'base_satellite_weights': {'XLV': 0.4}, 'conviction_scalar': {'XLV': 0.1735526691030956}, 'realized_date': Timestamp('2016-03-31 00:00:00'), 'applied_weights_after_turnover_limit': {'^SP500TR': 0.5305789323587617, 'LT09TRUU': 0.4, 'XLB': 0.0, 'XLE': 0.0, 'XLF': 0.0, 'XLI': 0.0, 'XLK': 0.0, 'XLY': 0.0, 'XLP': 0.0, 'XLU': 0.0, 'XLV': 0.06942106764123825, 'XAU': 0.0}, 'turnover': 0.23358019445924208, 'transaction_cost': 0.00011679009722962104, 'gross_simple_return': 0.03726083246243579, 'net_simple_return': 0.03714404236520617, 'window_size': 206, 'cash_weight': 0.0}</t>
  </si>
  <si>
    <t>{'Regime 0': 0.11131004299796374, 'Regime 1': 0.8886899562339532, 'Regime 2': 7.68083135540537e-10}</t>
  </si>
  <si>
    <t>{'XLV': 0.0445240171991855}</t>
  </si>
  <si>
    <t>{'^SP500TR': 0.5554759828008144, 'LT09TRUU': 0.4, 'XLV': 0.0445240171991855}</t>
  </si>
  <si>
    <t>{'selected_satellites_str': 'XLV', 'candidate_id': 72, 'base_satellite_weights': {'XLV': 0.4}, 'conviction_scalar': {'XLV': 0.11131004299796374}, 'realized_date': Timestamp('2016-04-30 00:00:00'), 'applied_weights_after_turnover_limit': {'^SP500TR': 0.5554759828008144, 'LT09TRUU': 0.4, 'XLB': 0.0, 'XLE': 0.0, 'XLF': 0.0, 'XLI': 0.0, 'XLK': 0.0, 'XLY': 0.0, 'XLP': 0.0, 'XLU': 0.0, 'XLV': 0.0445240171991855, 'XAU': 0.0}, 'turnover': 0.04979410088410545, 'transaction_cost': 2.4897050442052725e-05, 'gross_simple_return': 0.0031419648501626075, 'net_simple_return': 0.003117067799720555, 'window_size': 207, 'cash_weight': 0.0}</t>
  </si>
  <si>
    <t>{'Regime 0': 0.13073726929471566, 'Regime 1': 0.8690696213064049, 'Regime 2': 0.00019310939887955418}</t>
  </si>
  <si>
    <t>{'XLV': 0.052294907717886266}</t>
  </si>
  <si>
    <t>{'^SP500TR': 0.5477050922821137, 'LT09TRUU': 0.4, 'XLV': 0.052294907717886266}</t>
  </si>
  <si>
    <t>{'selected_satellites_str': 'XLV', 'candidate_id': 72, 'base_satellite_weights': {'XLV': 0.4}, 'conviction_scalar': {'XLV': 0.13073726929471566}, 'realized_date': Timestamp('2016-05-31 00:00:00'), 'applied_weights_after_turnover_limit': {'^SP500TR': 0.5477050922821137, 'LT09TRUU': 0.4, 'XLB': 0.0, 'XLE': 0.0, 'XLF': 0.0, 'XLI': 0.0, 'XLK': 0.0, 'XLY': 0.0, 'XLP': 0.0, 'XLU': 0.0, 'XLV': 0.052294907717886266, 'XAU': 0.0}, 'turnover': 0.01554178103740149, 'transaction_cost': 7.770890518700745e-06, 'gross_simple_return': 0.010601942428147729, 'net_simple_return': 0.010594171537629028, 'window_size': 208, 'cash_weight': 0.0}</t>
  </si>
  <si>
    <t>{'Regime 0': 0.1450852469905558, 'Regime 1': 0.6045034420006368, 'Regime 2': 0.25041131100880737}</t>
  </si>
  <si>
    <t>{'XLV': 0.05803409879622232}</t>
  </si>
  <si>
    <t>{'^SP500TR': 0.5419659012037776, 'LT09TRUU': 0.4, 'XLV': 0.05803409879622232}</t>
  </si>
  <si>
    <t>{'selected_satellites_str': 'XLV', 'candidate_id': 72, 'base_satellite_weights': {'XLV': 0.4}, 'conviction_scalar': {'XLV': 0.1450852469905558}, 'realized_date': Timestamp('2016-06-30 00:00:00'), 'applied_weights_after_turnover_limit': {'^SP500TR': 0.5419659012037776, 'LT09TRUU': 0.4, 'XLB': 0.0, 'XLE': 0.0, 'XLF': 0.0, 'XLI': 0.0, 'XLK': 0.0, 'XLY': 0.0, 'XLP': 0.0, 'XLU': 0.0, 'XLV': 0.05803409879622232, 'XAU': 0.0}, 'turnover': 0.01147838215667215, 'transaction_cost': 5.739191078336075e-06, 'gross_simple_return': 0.013572948018621047, 'net_simple_return': 0.01356720882754271, 'window_size': 209, 'cash_weight': 0.0}</t>
  </si>
  <si>
    <t>{'Regime 0': 0.1503964749485712, 'Regime 1': 0.7857243781179202, 'Regime 2': 0.06387914693350862}</t>
  </si>
  <si>
    <t>{'XLV': 0.06015858997942848}</t>
  </si>
  <si>
    <t>{'^SP500TR': 0.5398414100205715, 'LT09TRUU': 0.4, 'XLV': 0.06015858997942848}</t>
  </si>
  <si>
    <t>{'selected_satellites_str': 'XLV', 'candidate_id': 72, 'base_satellite_weights': {'XLV': 0.4}, 'conviction_scalar': {'XLV': 0.1503964749485712}, 'realized_date': Timestamp('2016-07-31 00:00:00'), 'applied_weights_after_turnover_limit': {'^SP500TR': 0.5398414100205715, 'LT09TRUU': 0.4, 'XLB': 0.0, 'XLE': 0.0, 'XLF': 0.0, 'XLI': 0.0, 'XLK': 0.0, 'XLY': 0.0, 'XLP': 0.0, 'XLU': 0.0, 'XLV': 0.06015858997942848, 'XAU': 0.0}, 'turnover': 0.004248982366412281, 'transaction_cost': 2.1244911832061403e-06, 'gross_simple_return': 0.023965534907517703, 'net_simple_return': 0.023963410416334496, 'window_size': 210, 'cash_weight': 0.0}</t>
  </si>
  <si>
    <t>{'Regime 0': 0.10680219175016364, 'Regime 1': 0.8928568213254668, 'Regime 2': 0.0003409869243695296}</t>
  </si>
  <si>
    <t>{'XLV': 0.04272087670006546}</t>
  </si>
  <si>
    <t>{'^SP500TR': 0.5572791232999346, 'LT09TRUU': 0.4, 'XLV': 0.04272087670006546}</t>
  </si>
  <si>
    <t>{'selected_satellites_str': 'XLV', 'candidate_id': 72, 'base_satellite_weights': {'XLV': 0.4}, 'conviction_scalar': {'XLV': 0.10680219175016364}, 'realized_date': Timestamp('2016-08-31 00:00:00'), 'applied_weights_after_turnover_limit': {'^SP500TR': 0.5572791232999346, 'LT09TRUU': 0.4, 'XLB': 0.0, 'XLE': 0.0, 'XLF': 0.0, 'XLI': 0.0, 'XLK': 0.0, 'XLY': 0.0, 'XLP': 0.0, 'XLU': 0.0, 'XLV': 0.04272087670006546, 'XAU': 0.0}, 'turnover': 0.03487542655872607, 'transaction_cost': 1.7437713279363036e-05, 'gross_simple_return': -0.004084604217994235, 'net_simple_return': -0.004102041931273598, 'window_size': 211, 'cash_weight': 0.0}</t>
  </si>
  <si>
    <t>{'Regime 0': 0.10742742100375376, 'Regime 1': 0.891507615622331, 'Regime 2': 0.0010649633739151468}</t>
  </si>
  <si>
    <t>{'XLV': 0.042970968401501504}</t>
  </si>
  <si>
    <t>{'^SP500TR': 0.5570290315984985, 'LT09TRUU': 0.4, 'XLV': 0.042970968401501504}</t>
  </si>
  <si>
    <t>{'selected_satellites_str': 'XLV', 'candidate_id': 72, 'base_satellite_weights': {'XLV': 0.4}, 'conviction_scalar': {'XLV': 0.10742742100375376}, 'realized_date': Timestamp('2016-09-30 00:00:00'), 'applied_weights_after_turnover_limit': {'^SP500TR': 0.5570290315984985, 'LT09TRUU': 0.4, 'XLB': 0.0, 'XLE': 0.0, 'XLF': 0.0, 'XLI': 0.0, 'XLK': 0.0, 'XLY': 0.0, 'XLP': 0.0, 'XLU': 0.0, 'XLV': 0.042970968401501504, 'XAU': 0.0}, 'turnover': 0.0005001834028721258, 'transaction_cost': 2.500917014360629e-07, 'gross_simple_return': -4.566084347088092e-06, 'net_simple_return': -4.816176048524154e-06, 'window_size': 212, 'cash_weight': 0.0}</t>
  </si>
  <si>
    <t>{'Regime 0': 0.3350331885690665, 'Regime 1': 0.5405066400534726, 'Regime 2': 0.12446017137746096}</t>
  </si>
  <si>
    <t>{'XLV': 0.13401327542762662}</t>
  </si>
  <si>
    <t>{'^SP500TR': 0.46598672457237333, 'LT09TRUU': 0.4, 'XLV': 0.13401327542762662}</t>
  </si>
  <si>
    <t>{'selected_satellites_str': 'XLV', 'candidate_id': 72, 'base_satellite_weights': {'XLV': 0.4}, 'conviction_scalar': {'XLV': 0.3350331885690665}, 'realized_date': Timestamp('2016-10-31 00:00:00'), 'applied_weights_after_turnover_limit': {'^SP500TR': 0.46598672457237333, 'LT09TRUU': 0.4, 'XLB': 0.0, 'XLE': 0.0, 'XLF': 0.0, 'XLI': 0.0, 'XLK': 0.0, 'XLY': 0.0, 'XLP': 0.0, 'XLU': 0.0, 'XLV': 0.13401327542762662, 'XAU': 0.0}, 'turnover': 0.18208461405225027, 'transaction_cost': 9.104230702612513e-05, 'gross_simple_return': -0.02318482069532583, 'net_simple_return': -0.023275863002351956, 'window_size': 213, 'cash_weight': 0.0}</t>
  </si>
  <si>
    <t>{'Regime 0': 0.10658507802898569, 'Regime 1': 0.8869739209630416, 'Regime 2': 0.006441001007972713}</t>
  </si>
  <si>
    <t>XLF, XLV</t>
  </si>
  <si>
    <t>{'XLF': 0.2680244765913043, 'XLV': 0.01065850780289857}</t>
  </si>
  <si>
    <t>{'^SP500TR': 0.3213170156057971, 'LT09TRUU': 0.4, 'XLF': 0.2680244765913043, 'XLV': 0.01065850780289857}</t>
  </si>
  <si>
    <t>{'selected_satellites_str': 'XLF, XLV', 'candidate_id': 723, 'base_satellite_weights': {'XLF': 0.3, 'XLV': 0.1}, 'conviction_scalar': {'XLF': 0.8934149219710144, 'XLV': 0.10658507802898569}, 'realized_date': Timestamp('2016-11-30 00:00:00'), 'applied_weights_after_turnover_limit': {'^SP500TR': 0.3213170156057971, 'LT09TRUU': 0.4, 'XLB': 0.0, 'XLE': 0.0, 'XLF': 0.2680244765913043, 'XLI': 0.0, 'XLK': 0.0, 'XLY': 0.0, 'XLP': 0.0, 'XLU': 0.0, 'XLV': 0.01065850780289857, 'XAU': 0.0}, 'turnover': 0.5360489531826086, 'transaction_cost': 0.0002680244765913043, 'gross_simple_return': 0.031125927559682378, 'net_simple_return': 0.030857903083091075, 'window_size': 214, 'cash_weight': 0.0}</t>
  </si>
  <si>
    <t>{'Regime 0': 0.009463199349403036, 'Regime 1': 0.9140800088982249, 'Regime 2': 0.07645679175237213}</t>
  </si>
  <si>
    <t>XLF, XLP</t>
  </si>
  <si>
    <t>{'XLF': 0.09905368006505971, 'XLP': 0.0028389598048209107}</t>
  </si>
  <si>
    <t>{'^SP500TR': 0.49810736013011936, 'LT09TRUU': 0.4, 'XLF': 0.09905368006505971, 'XLP': 0.0028389598048209107}</t>
  </si>
  <si>
    <t>{'selected_satellites_str': 'XLF, XLP', 'candidate_id': 653, 'base_satellite_weights': {'XLF': 0.1, 'XLP': 0.3}, 'conviction_scalar': {'XLF': 0.990536800650597, 'XLP': 0.009463199349403036}, 'realized_date': Timestamp('2016-12-31 00:00:00'), 'applied_weights_after_turnover_limit': {'^SP500TR': 0.49810736013011936, 'LT09TRUU': 0.4, 'XLB': 0.0, 'XLE': 0.0, 'XLF': 0.09905368006505971, 'XLI': 0.0, 'XLK': 0.0, 'XLY': 0.0, 'XLP': 0.0028389598048209107, 'XLU': 0.0, 'XLV': 0.0, 'XAU': 0.0}, 'turnover': 0.3592586086582863, 'transaction_cost': 0.00017962930432914316, 'gross_simple_return': 0.012882206823008807, 'net_simple_return': 0.012702577518679665, 'window_size': 215, 'cash_weight': 0.0}</t>
  </si>
  <si>
    <t>{'Regime 0': 0.12425280471872185, 'Regime 1': 0.8036868826058267, 'Regime 2': 0.07206031267545135}</t>
  </si>
  <si>
    <t>{'XLF': 0.35029887811251126}</t>
  </si>
  <si>
    <t>{'^SP500TR': 0.24970112188748872, 'LT09TRUU': 0.4, 'XLF': 0.35029887811251126}</t>
  </si>
  <si>
    <t>{'selected_satellites_str': 'XLF', 'candidate_id': 24, 'base_satellite_weights': {'XLF': 0.4}, 'conviction_scalar': {'XLF': 0.8757471952812781}, 'realized_date': Timestamp('2017-01-31 00:00:00'), 'applied_weights_after_turnover_limit': {'^SP500TR': 0.24970112188748872, 'LT09TRUU': 0.4, 'XLB': 0.0, 'XLE': 0.0, 'XLF': 0.35029887811251126, 'XLI': 0.0, 'XLK': 0.0, 'XLY': 0.0, 'XLP': 0.0, 'XLU': 0.0, 'XLV': 0.0, 'XAU': 0.0}, 'turnover': 0.5024903960949031, 'transaction_cost': 0.0002512451980474516, 'gross_simple_return': 0.0061910754502407924, 'net_simple_return': 0.005939830252193341, 'window_size': 216, 'cash_weight': 0.0}</t>
  </si>
  <si>
    <t>{'Regime 0': 0.21000474715668957, 'Regime 1': 0.7744556910297156, 'Regime 2': 0.015539561813594917}</t>
  </si>
  <si>
    <t>{'XLF': 0.3159981011373242}</t>
  </si>
  <si>
    <t>{'^SP500TR': 0.2840018988626758, 'LT09TRUU': 0.4, 'XLF': 0.3159981011373242}</t>
  </si>
  <si>
    <t>{'selected_satellites_str': 'XLF', 'candidate_id': 24, 'base_satellite_weights': {'XLF': 0.4}, 'conviction_scalar': {'XLF': 0.7899952528433104}, 'realized_date': Timestamp('2017-02-28 00:00:00'), 'applied_weights_after_turnover_limit': {'^SP500TR': 0.2840018988626758, 'LT09TRUU': 0.4, 'XLB': 0.0, 'XLE': 0.0, 'XLF': 0.3159981011373242, 'XLI': 0.0, 'XLK': 0.0, 'XLY': 0.0, 'XLP': 0.0, 'XLU': 0.0, 'XLV': 0.0, 'XAU': 0.0}, 'turnover': 0.06860155395037415, 'transaction_cost': 3.430077697518708e-05, 'gross_simple_return': 0.030828861773864676, 'net_simple_return': 0.03079456099688949, 'window_size': 217, 'cash_weight': 0.0}</t>
  </si>
  <si>
    <t>{'Regime 0': 0.30460233614728743, 'Regime 1': 0.4177114980138695, 'Regime 2': 0.27768616583884315}</t>
  </si>
  <si>
    <t>{'XLF': 0.27815906554108505}</t>
  </si>
  <si>
    <t>{'^SP500TR': 0.32184093445891493, 'LT09TRUU': 0.4, 'XLF': 0.27815906554108505}</t>
  </si>
  <si>
    <t>{'selected_satellites_str': 'XLF', 'candidate_id': 24, 'base_satellite_weights': {'XLF': 0.4}, 'conviction_scalar': {'XLF': 0.6953976638527126}, 'realized_date': Timestamp('2017-03-31 00:00:00'), 'applied_weights_after_turnover_limit': {'^SP500TR': 0.32184093445891493, 'LT09TRUU': 0.4, 'XLB': 0.0, 'XLE': 0.0, 'XLF': 0.27815906554108505, 'XLI': 0.0, 'XLK': 0.0, 'XLY': 0.0, 'XLP': 0.0, 'XLU': 0.0, 'XLV': 0.0, 'XAU': 0.0}, 'turnover': 0.07567807119247827, 'transaction_cost': 3.783903559623913e-05, 'gross_simple_return': -0.00781616932822897, 'net_simple_return': -0.007854008363825209, 'window_size': 218, 'cash_weight': 0.0}</t>
  </si>
  <si>
    <t>{'Regime 0': 0.10230438091055853, 'Regime 1': 0.8025513460394846, 'Regime 2': 0.09514427304995678}</t>
  </si>
  <si>
    <t>NONE</t>
  </si>
  <si>
    <t>{}</t>
  </si>
  <si>
    <t>{'selected_satellites_str': 'NONE', 'candidate_id': 0, 'base_satellite_weights': {}, 'conviction_scalar': None, 'realized_date': Timestamp('2017-04-30 00:00:00'), 'applied_weights_after_turnover_limit': {'^SP500TR': 0.6, 'LT09TRUU': 0.4, 'XLB': 0.0, 'XLE': 0.0, 'XLF': 0.0, 'XLI': 0.0, 'XLK': 0.0, 'XLY': 0.0, 'XLP': 0.0, 'XLU': 0.0, 'XLV': 0.0, 'XAU': 0.0}, 'turnover': 0.5563181310821701, 'transaction_cost': 0.00027815906554108503, 'gross_simple_return': 0.010662925028470981, 'net_simple_return': 0.010384765962929896, 'window_size': 219, 'cash_weight': 0.0}</t>
  </si>
  <si>
    <t>{'Regime 0': 0.09543959221529627, 'Regime 1': 0.5151641441860995, 'Regime 2': 0.3893962635986042}</t>
  </si>
  <si>
    <t>{'XLF': 0.13568406116770554, 'XLV': 0.023859898053824068}</t>
  </si>
  <si>
    <t>{'^SP500TR': 0.44045604077847034, 'LT09TRUU': 0.4, 'XLF': 0.13568406116770554, 'XLV': 0.023859898053824068}</t>
  </si>
  <si>
    <t>{'selected_satellites_str': 'XLF, XLV', 'candidate_id': 714, 'base_satellite_weights': {'XLF': 0.15, 'XLV': 0.25}, 'conviction_scalar': {'XLF': 0.9045604077847037, 'XLV': 0.09543959221529627}, 'realized_date': Timestamp('2017-05-31 00:00:00'), 'applied_weights_after_turnover_limit': {'^SP500TR': 0.44045604077847034, 'LT09TRUU': 0.4, 'XLB': 0.0, 'XLE': 0.0, 'XLF': 0.13568406116770554, 'XLI': 0.0, 'XLK': 0.0, 'XLY': 0.0, 'XLP': 0.0, 'XLU': 0.0, 'XLV': 0.023859898053824068, 'XAU': 0.0}, 'turnover': 0.3190879184430592, 'transaction_cost': 0.00015954395922152963, 'gross_simple_return': 0.008200437715454808, 'net_simple_return': 0.008040893756233278, 'window_size': 220, 'cash_weight': 0.0}</t>
  </si>
  <si>
    <t>{'Regime 0': 0.17587663842502996, 'Regime 1': 0.2945689417439521, 'Regime 2': 0.5295544198310179}</t>
  </si>
  <si>
    <t>{'selected_satellites_str': 'NONE', 'candidate_id': 0, 'base_satellite_weights': {}, 'conviction_scalar': None, 'realized_date': Timestamp('2017-06-30 00:00:00'), 'applied_weights_after_turnover_limit': {'^SP500TR': 0.6, 'LT09TRUU': 0.4, 'XLB': 0.0, 'XLE': 0.0, 'XLF': 0.0, 'XLI': 0.0, 'XLK': 0.0, 'XLY': 0.0, 'XLP': 0.0, 'XLU': 0.0, 'XLV': 0.0, 'XAU': 0.0}, 'turnover': 0.3190879184430592, 'transaction_cost': 0.00015954395922152963, 'gross_simple_return': 0.0013676566936112965, 'net_simple_return': 0.0012081127343897668, 'window_size': 221, 'cash_weight': 0.0}</t>
  </si>
  <si>
    <t>{'Regime 0': 0.07646403385910251, 'Regime 1': 0.5422660148201055, 'Regime 2': 0.381269951320792}</t>
  </si>
  <si>
    <t>{'XLF': 0.36941438645635905}</t>
  </si>
  <si>
    <t>{'^SP500TR': 0.23058561354364093, 'LT09TRUU': 0.4, 'XLF': 0.36941438645635905}</t>
  </si>
  <si>
    <t>{'selected_satellites_str': 'XLF', 'candidate_id': 24, 'base_satellite_weights': {'XLF': 0.4}, 'conviction_scalar': {'XLF': 0.9235359661408975}, 'realized_date': Timestamp('2017-07-31 00:00:00'), 'applied_weights_after_turnover_limit': {'^SP500TR': 0.23058561354364093, 'LT09TRUU': 0.4, 'XLB': 0.0, 'XLE': 0.0, 'XLF': 0.36941438645635905, 'XLI': 0.0, 'XLK': 0.0, 'XLY': 0.0, 'XLP': 0.0, 'XLU': 0.0, 'XLV': 0.0, 'XAU': 0.0}, 'turnover': 0.7388287729127181, 'transaction_cost': 0.00036941438645635903, 'gross_simple_return': 0.012522305399127166, 'net_simple_return': 0.012152891012670808, 'window_size': 222, 'cash_weight': 0.0}</t>
  </si>
  <si>
    <t>{'Regime 0': 0.26325393439768086, 'Regime 1': 0.6578187996431472, 'Regime 2': 0.07892726595917199}</t>
  </si>
  <si>
    <t>{'selected_satellites_str': 'NONE', 'candidate_id': 0, 'base_satellite_weights': {}, 'conviction_scalar': None, 'realized_date': Timestamp('2017-08-31 00:00:00'), 'applied_weights_after_turnover_limit': {'^SP500TR': 0.6, 'LT09TRUU': 0.4, 'XLB': 0.0, 'XLE': 0.0, 'XLF': 0.0, 'XLI': 0.0, 'XLK': 0.0, 'XLY': 0.0, 'XLP': 0.0, 'XLU': 0.0, 'XLV': 0.0, 'XAU': 0.0}, 'turnover': 0.7388287729127181, 'transaction_cost': 0.00036941438645635903, 'gross_simple_return': 0.007684740554354475, 'net_simple_return': 0.007315326167898116, 'window_size': 223, 'cash_weight': 0.0}</t>
  </si>
  <si>
    <t>{'Regime 0': 0.47701122004332774, 'Regime 1': 0.2188001449724901, 'Regime 2': 0.3041886349841822}</t>
  </si>
  <si>
    <t>{'selected_satellites_str': 'NONE', 'candidate_id': 0, 'base_satellite_weights': {}, 'conviction_scalar': None, 'realized_date': Timestamp('2017-09-30 00:00:00'), 'applied_weights_after_turnover_limit': {'^SP500TR': 0.6, 'LT09TRUU': 0.4, 'XLB': 0.0, 'XLE': 0.0, 'XLF': 0.0, 'XLI': 0.0, 'XLK': 0.0, 'XLY': 0.0, 'XLP': 0.0, 'XLU': 0.0, 'XLV': 0.0, 'XAU': 0.0}, 'turnover': 0.0, 'transaction_cost': 0.0, 'gross_simple_return': 0.0067335892330321785, 'net_simple_return': 0.0067335892330321785, 'window_size': 224, 'cash_weight': 0.0}</t>
  </si>
  <si>
    <t>{'Regime 0': 0.25197049002503386, 'Regime 1': 0.65390453157034, 'Regime 2': 0.09412497840462622}</t>
  </si>
  <si>
    <t>{'selected_satellites_str': 'NONE', 'candidate_id': 0, 'base_satellite_weights': {}, 'conviction_scalar': None, 'realized_date': Timestamp('2017-10-31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0.013196519952646254, 'net_simple_return': 0.013196519952646254, 'window_size': 225, 'cash_weight': 0.0}</t>
  </si>
  <si>
    <t>{'Regime 0': 0.1045963321839281, 'Regime 1': 0.8892224962982618, 'Regime 2': 0.006181171517810145}</t>
  </si>
  <si>
    <t>XLK, XLV</t>
  </si>
  <si>
    <t>{'XLK': 0.0447701833908036, 'XLV': 0.036608716264374834}</t>
  </si>
  <si>
    <t>{'^SP500TR': 0.5186211003448216, 'LT09TRUU': 0.4, 'XLK': 0.0447701833908036, 'XLV': 0.036608716264374834}</t>
  </si>
  <si>
    <t>{'selected_satellites_str': 'XLK, XLV', 'candidate_id': 1011, 'base_satellite_weights': {'XLK': 0.05, 'XLV': 0.35}, 'conviction_scalar': {'XLK': 0.895403667816072, 'XLV': 0.1045963321839281}, 'realized_date': Timestamp('2017-11-30 00:00:00'), 'applied_weights_after_turnover_limit': {'^SP500TR': 0.5186211003448216, 'LT09TRUU': 0.4, 'XLB': 0.0, 'XLE': 0.0, 'XLF': 0.0, 'XLI': 0.0, 'XLK': 0.0447701833908036, 'XLY': 0.0, 'XLP': 0.0, 'XLU': 0.0, 'XLV': 0.036608716264374834, 'XAU': 0.0}, 'turnover': 0.16275779931035686, 'transaction_cost': 8.137889965517843e-05, 'gross_simple_return': 0.01633153457681492, 'net_simple_return': 0.016250155677159744, 'window_size': 226, 'cash_weight': 0.0}</t>
  </si>
  <si>
    <t>{'Regime 0': 0.2938235861198, 'Regime 1': 0.6289709539407493, 'Regime 2': 0.07720545993945083}</t>
  </si>
  <si>
    <t>{'selected_satellites_str': 'NONE', 'candidate_id': 0, 'base_satellite_weights': {}, 'conviction_scalar': None, 'realized_date': Timestamp('2017-12-31 00:00:00'), 'applied_weights_after_turnover_limit': {'^SP500TR': 0.6, 'LT09TRUU': 0.4, 'XLB': 0.0, 'XLE': 0.0, 'XLF': 0.0, 'XLI': 0.0, 'XLK': 0.0, 'XLY': 0.0, 'XLP': 0.0, 'XLU': 0.0, 'XLV': 0.0, 'XAU': 0.0}, 'turnover': 0.16275779931035686, 'transaction_cost': 8.137889965517843e-05, 'gross_simple_return': 0.007508621321029606, 'net_simple_return': 0.007427242421374427, 'window_size': 227, 'cash_weight': 0.0}</t>
  </si>
  <si>
    <t>{'Regime 0': 0.07772320662251958, 'Regime 1': 0.8739581868047729, 'Regime 2': 0.04831860657270756}</t>
  </si>
  <si>
    <t>{'selected_satellites_str': 'NONE', 'candidate_id': 0, 'base_satellite_weights': {}, 'conviction_scalar': None, 'realized_date': Timestamp('2018-01-31 00:00:00'), 'applied_weights_after_turnover_limit': {'^SP500TR': 0.6, 'LT09TRUU': 0.4, 'XLB': 0.0, 'XLE': 0.0, 'XLF': 0.0, 'XLI': 0.0, 'XLK': 0.0, 'XLY': 0.0, 'XLP': 0.0, 'XLU': 0.0, 'XLV': 0.0, 'XAU': 0.0}, 'turnover': 0.0, 'transaction_cost': 0.0, 'gross_simple_return': 0.024958625234035088, 'net_simple_return': 0.024958625234035088, 'window_size': 228, 'cash_weight': 0.0}</t>
  </si>
  <si>
    <t>{'Regime 0': 0.10215450926815745, 'Regime 1': 0.7513049146374979, 'Regime 2': 0.14654057609434457}</t>
  </si>
  <si>
    <t>{'XLF': 0.359138196292737}</t>
  </si>
  <si>
    <t>{'^SP500TR': 0.24086180370726296, 'LT09TRUU': 0.4, 'XLF': 0.359138196292737}</t>
  </si>
  <si>
    <t>{'selected_satellites_str': 'XLF', 'candidate_id': 24, 'base_satellite_weights': {'XLF': 0.4}, 'conviction_scalar': {'XLF': 0.8978454907318425}, 'realized_date': Timestamp('2018-02-28 00:00:00'), 'applied_weights_after_turnover_limit': {'^SP500TR': 0.24086180370726296, 'LT09TRUU': 0.4, 'XLB': 0.0, 'XLE': 0.0, 'XLF': 0.359138196292737, 'XLI': 0.0, 'XLK': 0.0, 'XLY': 0.0, 'XLP': 0.0, 'XLU': 0.0, 'XLV': 0.0, 'XAU': 0.0}, 'turnover': 0.718276392585474, 'transaction_cost': 0.000359138196292737, 'gross_simple_return': -0.02317917158577628, 'net_simple_return': -0.023538309782069018, 'window_size': 229, 'cash_weight': 0.0}</t>
  </si>
  <si>
    <t>{'Regime 0': 0.6385626038569656, 'Regime 1': 0.1987991370045986, 'Regime 2': 0.16263825913843585}</t>
  </si>
  <si>
    <t>{'XLU': 0.2554250415427863}</t>
  </si>
  <si>
    <t>{'^SP500TR': 0.3445749584572137, 'LT09TRUU': 0.4, 'XLU': 0.2554250415427863}</t>
  </si>
  <si>
    <t>{'selected_satellites_str': 'XLU', 'candidate_id': 64, 'base_satellite_weights': {'XLU': 0.4}, 'conviction_scalar': {'XLU': 0.6385626038569656}, 'realized_date': Timestamp('2018-03-31 00:00:00'), 'applied_weights_after_turnover_limit': {'^SP500TR': 0.3445749584572137, 'LT09TRUU': 0.4, 'XLB': 0.0, 'XLE': 0.0, 'XLF': 0.0, 'XLI': 0.0, 'XLK': 0.0, 'XLY': 0.0, 'XLP': 0.0, 'XLU': 0.2554250415427863, 'XLV': 0.0, 'XAU': 0.0}, 'turnover': 0.718276392585474, 'transaction_cost': 0.000359138196292737, 'gross_simple_return': 0.005630015275337685, 'net_simple_return': 0.005270877079044948, 'window_size': 230, 'cash_weight': 0.0}</t>
  </si>
  <si>
    <t>{'Regime 0': 0.11431790839399214, 'Regime 1': 0.6037617342138817, 'Regime 2': 0.2819203573921261}</t>
  </si>
  <si>
    <t>{'XLK': 0.35427283664240317}</t>
  </si>
  <si>
    <t>{'^SP500TR': 0.2457271633575968, 'LT09TRUU': 0.4, 'XLK': 0.35427283664240317}</t>
  </si>
  <si>
    <t>{'selected_satellites_str': 'XLK', 'candidate_id': 40, 'base_satellite_weights': {'XLK': 0.4}, 'conviction_scalar': {'XLK': 0.8856820916060079}, 'realized_date': Timestamp('2018-04-30 00:00:00'), 'applied_weights_after_turnover_limit': {'^SP500TR': 0.2457271633575968, 'LT09TRUU': 0.4, 'XLB': 0.0, 'XLE': 0.0, 'XLF': 0.0, 'XLI': 0.0, 'XLK': 0.35427283664240317, 'XLY': 0.0, 'XLP': 0.0, 'XLU': 0.0, 'XLV': 0.0, 'XAU': 0.0}, 'turnover': 0.7085456732848063, 'transaction_cost': 0.0003542728366424032, 'gross_simple_return': -0.003829008859393564, 'net_simple_return': -0.004183281696035967, 'window_size': 231, 'cash_weight': 0.0}</t>
  </si>
  <si>
    <t>{'Regime 0': 0.19370660667800557, 'Regime 1': 0.6393249462374304, 'Regime 2': 0.16696844708456407}</t>
  </si>
  <si>
    <t>{'XLK': 0.3225173573287978}</t>
  </si>
  <si>
    <t>{'^SP500TR': 0.27748264267120215, 'LT09TRUU': 0.4, 'XLK': 0.3225173573287978}</t>
  </si>
  <si>
    <t>{'selected_satellites_str': 'XLK', 'candidate_id': 40, 'base_satellite_weights': {'XLK': 0.4}, 'conviction_scalar': {'XLK': 0.8062933933219945}, 'realized_date': Timestamp('2018-05-31 00:00:00'), 'applied_weights_after_turnover_limit': {'^SP500TR': 0.27748264267120215, 'LT09TRUU': 0.4, 'XLB': 0.0, 'XLE': 0.0, 'XLF': 0.0, 'XLI': 0.0, 'XLK': 0.3225173573287978, 'XLY': 0.0, 'XLP': 0.0, 'XLU': 0.0, 'XLV': 0.0, 'XAU': 0.0}, 'turnover': 0.06351095862721068, 'transaction_cost': 3.175547931360534e-05, 'gross_simple_return': 0.03263739498268648, 'net_simple_return': 0.03260563950337288, 'window_size': 232, 'cash_weight': 0.0}</t>
  </si>
  <si>
    <t>{'Regime 0': 0.08784576604558826, 'Regime 1': 0.7095282562650517, 'Regime 2': 0.20262597768936005}</t>
  </si>
  <si>
    <t>{'XLK': 0.36486169358176473}</t>
  </si>
  <si>
    <t>{'^SP500TR': 0.23513830641823524, 'LT09TRUU': 0.4, 'XLK': 0.36486169358176473}</t>
  </si>
  <si>
    <t>{'selected_satellites_str': 'XLK', 'candidate_id': 40, 'base_satellite_weights': {'XLK': 0.4}, 'conviction_scalar': {'XLK': 0.9121542339544118}, 'realized_date': Timestamp('2018-06-30 00:00:00'), 'applied_weights_after_turnover_limit': {'^SP500TR': 0.23513830641823524, 'LT09TRUU': 0.4, 'XLB': 0.0, 'XLE': 0.0, 'XLF': 0.0, 'XLI': 0.0, 'XLK': 0.36486169358176473, 'XLY': 0.0, 'XLP': 0.0, 'XLU': 0.0, 'XLV': 0.0, 'XAU': 0.0}, 'turnover': 0.08468867250593382, 'transaction_cost': 4.234433625296691e-05, 'gross_simple_return': 0.000715321013047802, 'net_simple_return': 0.0006729766767948351, 'window_size': 233, 'cash_weight': 0.0}</t>
  </si>
  <si>
    <t>{'Regime 0': 0.11190705392329917, 'Regime 1': 0.13146752984473895, 'Regime 2': 0.756625416231962}</t>
  </si>
  <si>
    <t>XLK, XLY</t>
  </si>
  <si>
    <t>{'XLK': 0.26642788382301025, 'XLY': 0.08880929460767009}</t>
  </si>
  <si>
    <t>{'^SP500TR': 0.2447628215693196, 'LT09TRUU': 0.4, 'XLK': 0.26642788382301025, 'XLY': 0.08880929460767009}</t>
  </si>
  <si>
    <t>{'selected_satellites_str': 'XLK, XLY', 'candidate_id': 947, 'base_satellite_weights': {'XLK': 0.3, 'XLY': 0.1}, 'conviction_scalar': {'XLK': 0.8880929460767009, 'XLY': 0.8880929460767009}, 'realized_date': Timestamp('2018-07-31 00:00:00'), 'applied_weights_after_turnover_limit': {'^SP500TR': 0.2447628215693196, 'LT09TRUU': 0.4, 'XLB': 0.0, 'XLE': 0.0, 'XLF': 0.0, 'XLI': 0.0, 'XLK': 0.26642788382301025, 'XLY': 0.08880929460767009, 'XLP': 0.0, 'XLU': 0.0, 'XLV': 0.0, 'XAU': 0.0}, 'turnover': 0.19686761951750895, 'transaction_cost': 9.843380975875447e-05, 'gross_simple_return': 0.013803377720642848, 'net_simple_return': 0.013704943910884093, 'window_size': 234, 'cash_weight': 0.0}</t>
  </si>
  <si>
    <t>{'Regime 0': 0.30764447724806443, 'Regime 1': 0.46088417195758047, 'Regime 2': 0.23147135079435496}</t>
  </si>
  <si>
    <t>{'XLK': 0.2769422091007742}</t>
  </si>
  <si>
    <t>{'^SP500TR': 0.32305779089922576, 'LT09TRUU': 0.4, 'XLK': 0.2769422091007742}</t>
  </si>
  <si>
    <t>{'selected_satellites_str': 'XLK', 'candidate_id': 40, 'base_satellite_weights': {'XLK': 0.4}, 'conviction_scalar': {'XLK': 0.6923555227519356}, 'realized_date': Timestamp('2018-08-31 00:00:00'), 'applied_weights_after_turnover_limit': {'^SP500TR': 0.32305779089922576, 'LT09TRUU': 0.4, 'XLB': 0.0, 'XLE': 0.0, 'XLF': 0.0, 'XLI': 0.0, 'XLK': 0.2769422091007742, 'XLY': 0.0, 'XLP': 0.0, 'XLU': 0.0, 'XLV': 0.0, 'XAU': 0.0}, 'turnover': 0.1776185892153402, 'transaction_cost': 8.880929460767011e-05, 'gross_simple_return': 0.03300154524365455, 'net_simple_return': 0.03291273594904688, 'window_size': 235, 'cash_weight': 0.0}</t>
  </si>
  <si>
    <t>{'Regime 0': 0.4666321688869259, 'Regime 1': 0.4421799467669427, 'Regime 2': 0.09118788434613138}</t>
  </si>
  <si>
    <t>XLK, XLU</t>
  </si>
  <si>
    <t>{'XLK': 0.13334195777826852, 'XLU': 0.06999482533303888}</t>
  </si>
  <si>
    <t>{'^SP500TR': 0.39666321688869255, 'LT09TRUU': 0.4, 'XLK': 0.13334195777826852, 'XLU': 0.06999482533303888}</t>
  </si>
  <si>
    <t>{'selected_satellites_str': 'XLK, XLU', 'candidate_id': 1001, 'base_satellite_weights': {'XLK': 0.25, 'XLU': 0.15}, 'conviction_scalar': {'XLK': 0.5333678311130741, 'XLU': 0.4666321688869259}, 'realized_date': Timestamp('2018-09-30 00:00:00'), 'applied_weights_after_turnover_limit': {'^SP500TR': 0.39666321688869255, 'LT09TRUU': 0.4, 'XLB': 0.0, 'XLE': 0.0, 'XLF': 0.0, 'XLI': 0.0, 'XLK': 0.13334195777826852, 'XLY': 0.0, 'XLP': 0.0, 'XLU': 0.06999482533303888, 'XLV': 0.0, 'XAU': 0.0}, 'turnover': 0.2872005026450114, 'transaction_cost': 0.00014360025132250571, 'gross_simple_return': -0.0034951753152961344, 'net_simple_return': -0.00363877556661864, 'window_size': 236, 'cash_weight': 0.0}</t>
  </si>
  <si>
    <t>{'Regime 0': 0.12893854360125445, 'Regime 1': 0.8413374140254012, 'Regime 2': 0.029724042373344407}</t>
  </si>
  <si>
    <t>{'XLK': 0.34842458255949826}</t>
  </si>
  <si>
    <t>{'^SP500TR': 0.2515754174405017, 'LT09TRUU': 0.4, 'XLK': 0.34842458255949826}</t>
  </si>
  <si>
    <t>{'selected_satellites_str': 'XLK', 'candidate_id': 40, 'base_satellite_weights': {'XLK': 0.4}, 'conviction_scalar': {'XLK': 0.8710614563987455}, 'realized_date': Timestamp('2018-10-31 00:00:00'), 'applied_weights_after_turnover_limit': {'^SP500TR': 0.2515754174405017, 'LT09TRUU': 0.4, 'XLB': 0.0, 'XLE': 0.0, 'XLF': 0.0, 'XLI': 0.0, 'XLK': 0.34842458255949826, 'XLY': 0.0, 'XLP': 0.0, 'XLU': 0.0, 'XLV': 0.0, 'XAU': 0.0}, 'turnover': 0.4301652495624595, 'transaction_cost': 0.00021508262478122975, 'gross_simple_return': -0.04719206251127608, 'net_simple_return': -0.04740714513605731, 'window_size': 237, 'cash_weight': 0.0}</t>
  </si>
  <si>
    <t>{'Regime 0': 0.16850014587271156, 'Regime 1': 0.3286170909991857, 'Regime 2': 0.5028827631281029}</t>
  </si>
  <si>
    <t>{'XLK': 0.3325999416509154}</t>
  </si>
  <si>
    <t>{'^SP500TR': 0.2674000583490846, 'LT09TRUU': 0.4, 'XLK': 0.3325999416509154}</t>
  </si>
  <si>
    <t>{'selected_satellites_str': 'XLK', 'candidate_id': 40, 'base_satellite_weights': {'XLK': 0.4}, 'conviction_scalar': {'XLK': 0.8314998541272884}, 'realized_date': Timestamp('2018-11-30 00:00:00'), 'applied_weights_after_turnover_limit': {'^SP500TR': 0.2674000583490846, 'LT09TRUU': 0.4, 'XLB': 0.0, 'XLE': 0.0, 'XLF': 0.0, 'XLI': 0.0, 'XLK': 0.3325999416509154, 'XLY': 0.0, 'XLP': 0.0, 'XLU': 0.0, 'XLV': 0.0, 'XAU': 0.0}, 'turnover': 0.03164928181716575, 'transaction_cost': 1.5824640908582878e-05, 'gross_simple_return': 0.004218565480520841, 'net_simple_return': 0.004202740839612258, 'window_size': 238, 'cash_weight': 0.0}</t>
  </si>
  <si>
    <t>{'Regime 0': 0.10514568493152693, 'Regime 1': 0.8399533406137496, 'Regime 2': 0.05490097445472359}</t>
  </si>
  <si>
    <t>{'XLK': 0.17897086301369464, 'XLV': 0.02102913698630539}</t>
  </si>
  <si>
    <t>{'^SP500TR': 0.39999999999999997, 'LT09TRUU': 0.4, 'XLK': 0.17897086301369464, 'XLV': 0.02102913698630539}</t>
  </si>
  <si>
    <t>{'selected_satellites_str': 'XLK, XLV', 'candidate_id': 1026, 'base_satellite_weights': {'XLK': 0.2, 'XLV': 0.2}, 'conviction_scalar': {'XLK': 0.8948543150684731, 'XLV': 0.10514568493152693}, 'realized_date': Timestamp('2018-12-31 00:00:00'), 'applied_weights_after_turnover_limit': {'^SP500TR': 0.39999999999999997, 'LT09TRUU': 0.4, 'XLB': 0.0, 'XLE': 0.0, 'XLF': 0.0, 'XLI': 0.0, 'XLK': 0.17897086301369464, 'XLY': 0.0, 'XLP': 0.0, 'XLU': 0.0, 'XLV': 0.02102913698630539, 'XAU': 0.0}, 'turnover': 0.3072581572744415, 'transaction_cost': 0.00015362907863722075, 'gross_simple_return': -0.043809848715048845, 'net_simple_return': -0.04396347779368607, 'window_size': 239, 'cash_weight': 0.0}</t>
  </si>
  <si>
    <t>{'Regime 0': 0.18794343474497688, 'Regime 1': 0.47885732273096326, 'Regime 2': 0.3331992425240598}</t>
  </si>
  <si>
    <t>{'XLK': 0.3248226261020093}</t>
  </si>
  <si>
    <t>{'^SP500TR': 0.2751773738979907, 'LT09TRUU': 0.4, 'XLK': 0.3248226261020093}</t>
  </si>
  <si>
    <t>{'selected_satellites_str': 'XLK', 'candidate_id': 40, 'base_satellite_weights': {'XLK': 0.4}, 'conviction_scalar': {'XLK': 0.8120565652550231}, 'realized_date': Timestamp('2019-01-31 00:00:00'), 'applied_weights_after_turnover_limit': {'^SP500TR': 0.2751773738979907, 'LT09TRUU': 0.4, 'XLB': 0.0, 'XLE': 0.0, 'XLF': 0.0, 'XLI': 0.0, 'XLK': 0.3248226261020093, 'XLY': 0.0, 'XLP': 0.0, 'XLU': 0.0, 'XLV': 0.0, 'XAU': 0.0}, 'turnover': 0.2917035261766293, 'transaction_cost': 0.00014585176308831466, 'gross_simple_return': 0.04703836002729348, 'net_simple_return': 0.046892508264205164, 'window_size': 240, 'cash_weight': 0.0}</t>
  </si>
  <si>
    <t>{'Regime 0': 0.0006404928126296279, 'Regime 1': 0.9991684491490558, 'Regime 2': 0.00019105803831448494}</t>
  </si>
  <si>
    <t>{'XLK': 0.14990392607810554, 'XLV': 0.00016012320315740697}</t>
  </si>
  <si>
    <t>{'^SP500TR': 0.44993595071873704, 'LT09TRUU': 0.4, 'XLK': 0.14990392607810554, 'XLV': 0.00016012320315740697}</t>
  </si>
  <si>
    <t>{'selected_satellites_str': 'XLK, XLV', 'candidate_id': 1022, 'base_satellite_weights': {'XLK': 0.15, 'XLV': 0.25}, 'conviction_scalar': {'XLK': 0.9993595071873703, 'XLV': 0.0006404928126296279}, 'realized_date': Timestamp('2019-02-28 00:00:00'), 'applied_weights_after_turnover_limit': {'^SP500TR': 0.44993595071873704, 'LT09TRUU': 0.4, 'XLB': 0.0, 'XLE': 0.0, 'XLF': 0.0, 'XLI': 0.0, 'XLK': 0.14990392607810554, 'XLY': 0.0, 'XLP': 0.0, 'XLU': 0.0, 'XLV': 0.00016012320315740697, 'XAU': 0.0}, 'turnover': 0.3498374000478075, 'transaction_cost': 0.00017491870002390376, 'gross_simple_return': 0.022925222278397474, 'net_simple_return': 0.02275030357837357, 'window_size': 241, 'cash_weight': 0.0}</t>
  </si>
  <si>
    <t>{'Regime 0': 0.11742458924613451, 'Regime 1': 0.8377995386214618, 'Regime 2': 0.04477587213240365}</t>
  </si>
  <si>
    <t>{'XLK': 0.3530301643015462}</t>
  </si>
  <si>
    <t>{'^SP500TR': 0.24696983569845377, 'LT09TRUU': 0.4, 'XLK': 0.3530301643015462}</t>
  </si>
  <si>
    <t>{'selected_satellites_str': 'XLK', 'candidate_id': 40, 'base_satellite_weights': {'XLK': 0.4}, 'conviction_scalar': {'XLK': 0.8825754107538655}, 'realized_date': Timestamp('2019-03-31 00:00:00'), 'applied_weights_after_turnover_limit': {'^SP500TR': 0.24696983569845377, 'LT09TRUU': 0.4, 'XLB': 0.0, 'XLE': 0.0, 'XLF': 0.0, 'XLI': 0.0, 'XLK': 0.3530301643015462, 'XLY': 0.0, 'XLP': 0.0, 'XLU': 0.0, 'XLV': 0.0, 'XAU': 0.0}, 'turnover': 0.40625247644688134, 'transaction_cost': 0.00020312623822344068, 'gross_simple_return': 0.03160148991906114, 'net_simple_return': 0.031398363680837704, 'window_size': 242, 'cash_weight': 0.0}</t>
  </si>
  <si>
    <t>{'Regime 0': 0.11584343061946986, 'Regime 1': 0.834724075153713, 'Regime 2': 0.04943249422681719}</t>
  </si>
  <si>
    <t>{'XLK': 0.3536626277522121}</t>
  </si>
  <si>
    <t>{'^SP500TR': 0.2463373722477879, 'LT09TRUU': 0.4, 'XLK': 0.3536626277522121}</t>
  </si>
  <si>
    <t>{'selected_satellites_str': 'XLK', 'candidate_id': 40, 'base_satellite_weights': {'XLK': 0.4}, 'conviction_scalar': {'XLK': 0.8841565693805301}, 'realized_date': Timestamp('2019-04-30 00:00:00'), 'applied_weights_after_turnover_limit': {'^SP500TR': 0.2463373722477879, 'LT09TRUU': 0.4, 'XLB': 0.0, 'XLE': 0.0, 'XLF': 0.0, 'XLI': 0.0, 'XLK': 0.3536626277522121, 'XLY': 0.0, 'XLP': 0.0, 'XLU': 0.0, 'XLV': 0.0, 'XAU': 0.0}, 'turnover': 0.001264926901331731, 'transaction_cost': 6.324634506658656e-07, 'gross_simple_return': 0.030324831453089018, 'net_simple_return': 0.03032419898963835, 'window_size': 243, 'cash_weight': 0.0}</t>
  </si>
  <si>
    <t>{'Regime 0': 0.10746214549876279, 'Regime 1': 0.8524057525130642, 'Regime 2': 0.040132101988173116}</t>
  </si>
  <si>
    <t>{'XLK': 0.35701514180049493}</t>
  </si>
  <si>
    <t>{'^SP500TR': 0.24298485819950505, 'LT09TRUU': 0.4, 'XLK': 0.35701514180049493}</t>
  </si>
  <si>
    <t>{'selected_satellites_str': 'XLK', 'candidate_id': 40, 'base_satellite_weights': {'XLK': 0.4}, 'conviction_scalar': {'XLK': 0.8925378545012372}, 'realized_date': Timestamp('2019-05-31 00:00:00'), 'applied_weights_after_turnover_limit': {'^SP500TR': 0.24298485819950505, 'LT09TRUU': 0.4, 'XLB': 0.0, 'XLE': 0.0, 'XLF': 0.0, 'XLI': 0.0, 'XLK': 0.35701514180049493, 'XLY': 0.0, 'XLP': 0.0, 'XLU': 0.0, 'XLV': 0.0, 'XAU': 0.0}, 'turnover': 0.006705028096565702, 'transaction_cost': 3.3525140482828508e-06, 'gross_simple_return': -0.03587896891446149, 'net_simple_return': -0.03588232142850977, 'window_size': 244, 'cash_weight': 0.0}</t>
  </si>
  <si>
    <t>{'Regime 0': 0.2839716606979377, 'Regime 1': 0.17741066177066972, 'Regime 2': 0.5386176775313927}</t>
  </si>
  <si>
    <t>{'XLK': 0.2506099187557218, 'XLY': 0.03580141696510312}</t>
  </si>
  <si>
    <t>{'^SP500TR': 0.31358866427917503, 'LT09TRUU': 0.4, 'XLK': 0.2506099187557218, 'XLY': 0.03580141696510312}</t>
  </si>
  <si>
    <t>{'selected_satellites_str': 'XLK, XLY', 'candidate_id': 948, 'base_satellite_weights': {'XLK': 0.35, 'XLY': 0.05}, 'conviction_scalar': {'XLK': 0.7160283393020623, 'XLY': 0.7160283393020623}, 'realized_date': Timestamp('2019-06-30 00:00:00'), 'applied_weights_after_turnover_limit': {'^SP500TR': 0.31358866427917503, 'LT09TRUU': 0.4, 'XLB': 0.0, 'XLE': 0.0, 'XLF': 0.0, 'XLI': 0.0, 'XLK': 0.2506099187557218, 'XLY': 0.03580141696510312, 'XLP': 0.0, 'XLU': 0.0, 'XLV': 0.0, 'XAU': 0.0}, 'turnover': 0.21281044608954622, 'transaction_cost': 0.00010640522304477312, 'gross_simple_return': 0.05228391360799476, 'net_simple_return': 0.052177508384949986, 'window_size': 245, 'cash_weight': 0.0}</t>
  </si>
  <si>
    <t>{'Regime 0': 0.008161522755331234, 'Regime 1': 0.9890459908165101, 'Regime 2': 0.0027924864281585627}</t>
  </si>
  <si>
    <t>{'XLK': 0.3967353908978675}</t>
  </si>
  <si>
    <t>{'^SP500TR': 0.20326460910213245, 'LT09TRUU': 0.4, 'XLK': 0.3967353908978675}</t>
  </si>
  <si>
    <t>{'selected_satellites_str': 'XLK', 'candidate_id': 40, 'base_satellite_weights': {'XLK': 0.4}, 'conviction_scalar': {'XLK': 0.9918384772446688}, 'realized_date': Timestamp('2019-07-31 00:00:00'), 'applied_weights_after_turnover_limit': {'^SP500TR': 0.20326460910213245, 'LT09TRUU': 0.4, 'XLB': 0.0, 'XLE': 0.0, 'XLF': 0.0, 'XLI': 0.0, 'XLK': 0.3967353908978675, 'XLY': 0.0, 'XLP': 0.0, 'XLU': 0.0, 'XLV': 0.0, 'XAU': 0.0}, 'turnover': 0.29225094428429144, 'transaction_cost': 0.00014612547214214573, 'gross_simple_return': 0.016264756746589705, 'net_simple_return': 0.01611863127444756, 'window_size': 246, 'cash_weight': 0.0}</t>
  </si>
  <si>
    <t>{'Regime 0': 0.15022811076886786, 'Regime 1': 0.8088844358017563, 'Regime 2': 0.04088745342937584}</t>
  </si>
  <si>
    <t>{'XLK': 0.3399087556924529}</t>
  </si>
  <si>
    <t>{'^SP500TR': 0.2600912443075471, 'LT09TRUU': 0.4, 'XLK': 0.3399087556924529}</t>
  </si>
  <si>
    <t>{'selected_satellites_str': 'XLK', 'candidate_id': 40, 'base_satellite_weights': {'XLK': 0.4}, 'conviction_scalar': {'XLK': 0.8497718892311321}, 'realized_date': Timestamp('2019-08-31 00:00:00'), 'applied_weights_after_turnover_limit': {'^SP500TR': 0.2600912443075471, 'LT09TRUU': 0.4, 'XLB': 0.0, 'XLE': 0.0, 'XLF': 0.0, 'XLI': 0.0, 'XLK': 0.3399087556924529, 'XLY': 0.0, 'XLP': 0.0, 'XLU': 0.0, 'XLV': 0.0, 'XAU': 0.0}, 'turnover': 0.11365327041082929, 'transaction_cost': 5.682663520541464e-05, 'gross_simple_return': 0.006176185574147762, 'net_simple_return': 0.006119358938942348, 'window_size': 247, 'cash_weight': 0.0}</t>
  </si>
  <si>
    <t>{'Regime 0': 0.23616223273656134, 'Regime 1': 0.18216276536940776, 'Regime 2': 0.581675001894031}</t>
  </si>
  <si>
    <t>{'XLK': 0.2673432185422035, 'XLY': 0.03819188836317194}</t>
  </si>
  <si>
    <t>{'^SP500TR': 0.29446489309462454, 'LT09TRUU': 0.4, 'XLK': 0.2673432185422035, 'XLY': 0.03819188836317194}</t>
  </si>
  <si>
    <t>{'selected_satellites_str': 'XLK, XLY', 'candidate_id': 948, 'base_satellite_weights': {'XLK': 0.35, 'XLY': 0.05}, 'conviction_scalar': {'XLK': 0.7638377672634387, 'XLY': 0.7638377672634387}, 'realized_date': Timestamp('2019-09-30 00:00:00'), 'applied_weights_after_turnover_limit': {'^SP500TR': 0.29446489309462454, 'LT09TRUU': 0.4, 'XLB': 0.0, 'XLE': 0.0, 'XLF': 0.0, 'XLI': 0.0, 'XLK': 0.2673432185422035, 'XLY': 0.03819188836317194, 'XLP': 0.0, 'XLU': 0.0, 'XLV': 0.0, 'XAU': 0.0}, 'turnover': 0.14513107430049876, 'transaction_cost': 7.256553715024938e-05, 'gross_simple_return': 0.005720180091697808, 'net_simple_return': 0.0056476145545475585, 'window_size': 248, 'cash_weight': 0.0}</t>
  </si>
  <si>
    <t>{'Regime 0': 0.18295145171497842, 'Regime 1': 0.7653814118682207, 'Regime 2': 0.05166713641680089}</t>
  </si>
  <si>
    <t>{'XLK': 0.24511456448550648, 'XLU': 0.018295145171497842}</t>
  </si>
  <si>
    <t>{'^SP500TR': 0.33659029034299565, 'LT09TRUU': 0.4, 'XLK': 0.24511456448550648, 'XLU': 0.018295145171497842}</t>
  </si>
  <si>
    <t>{'selected_satellites_str': 'XLK, XLU', 'candidate_id': 1003, 'base_satellite_weights': {'XLK': 0.3, 'XLU': 0.1}, 'conviction_scalar': {'XLK': 0.8170485482850216, 'XLU': 0.18295145171497842}, 'realized_date': Timestamp('2019-10-31 00:00:00'), 'applied_weights_after_turnover_limit': {'^SP500TR': 0.33659029034299565, 'LT09TRUU': 0.4, 'XLB': 0.0, 'XLE': 0.0, 'XLF': 0.0, 'XLI': 0.0, 'XLK': 0.24511456448550648, 'XLY': 0.0, 'XLP': 0.0, 'XLU': 0.018295145171497842, 'XLV': 0.0, 'XAU': 0.0}, 'turnover': 0.12084108483973792, 'transaction_cost': 6.0420542419868964e-05, 'gross_simple_return': 0.017239200022626393, 'net_simple_return': 0.017178779480206526, 'window_size': 249, 'cash_weight': 0.0}</t>
  </si>
  <si>
    <t>{'Regime 0': 0.18432202938023648, 'Regime 1': 0.7648278343344439, 'Regime 2': 0.05085013628531951}</t>
  </si>
  <si>
    <t>{'XLK': 0.32627118824790546}</t>
  </si>
  <si>
    <t>{'^SP500TR': 0.2737288117520945, 'LT09TRUU': 0.4, 'XLK': 0.32627118824790546}</t>
  </si>
  <si>
    <t>{'selected_satellites_str': 'XLK', 'candidate_id': 40, 'base_satellite_weights': {'XLK': 0.4}, 'conviction_scalar': {'XLK': 0.8156779706197635}, 'realized_date': Timestamp('2019-11-30 00:00:00'), 'applied_weights_after_turnover_limit': {'^SP500TR': 0.2737288117520945, 'LT09TRUU': 0.4, 'XLB': 0.0, 'XLE': 0.0, 'XLF': 0.0, 'XLI': 0.0, 'XLK': 0.32627118824790546, 'XLY': 0.0, 'XLP': 0.0, 'XLU': 0.0, 'XLV': 0.0, 'XAU': 0.0}, 'turnover': 0.16231324752479798, 'transaction_cost': 8.115662376239898e-05, 'gross_simple_return': 0.02448348113308732, 'net_simple_return': 0.024402324509324922, 'window_size': 250, 'cash_weight': 0.0}</t>
  </si>
  <si>
    <t>{'Regime 0': 0.1787891667804054, 'Regime 1': 0.7700064508673856, 'Regime 2': 0.051204382352208866}</t>
  </si>
  <si>
    <t>{'XLK': 0.3284843332878379}</t>
  </si>
  <si>
    <t>{'^SP500TR': 0.2715156667121621, 'LT09TRUU': 0.4, 'XLK': 0.3284843332878379}</t>
  </si>
  <si>
    <t>{'selected_satellites_str': 'XLK', 'candidate_id': 40, 'base_satellite_weights': {'XLK': 0.4}, 'conviction_scalar': {'XLK': 0.8212108332195946}, 'realized_date': Timestamp('2019-12-31 00:00:00'), 'applied_weights_after_turnover_limit': {'^SP500TR': 0.2715156667121621, 'LT09TRUU': 0.4, 'XLB': 0.0, 'XLE': 0.0, 'XLF': 0.0, 'XLI': 0.0, 'XLK': 0.3284843332878379, 'XLY': 0.0, 'XLP': 0.0, 'XLU': 0.0, 'XLV': 0.0, 'XAU': 0.0}, 'turnover': 0.004426290079864836, 'transaction_cost': 2.213145039932418e-06, 'gross_simple_return': 0.019184413313617536, 'net_simple_return': 0.019182200168577603, 'window_size': 251, 'cash_weight': 0.0}</t>
  </si>
  <si>
    <t>{'Regime 0': 0.21099153586413655, 'Regime 1': 0.740218014946864, 'Regime 2': 0.048790449188999385}</t>
  </si>
  <si>
    <t>{'XLK': 0.3156033856543454}</t>
  </si>
  <si>
    <t>{'^SP500TR': 0.28439661434565455, 'LT09TRUU': 0.4, 'XLK': 0.3156033856543454}</t>
  </si>
  <si>
    <t>{'selected_satellites_str': 'XLK', 'candidate_id': 40, 'base_satellite_weights': {'XLK': 0.4}, 'conviction_scalar': {'XLK': 0.7890084641358635}, 'realized_date': Timestamp('2020-01-31 00:00:00'), 'applied_weights_after_turnover_limit': {'^SP500TR': 0.28439661434565455, 'LT09TRUU': 0.4, 'XLB': 0.0, 'XLE': 0.0, 'XLF': 0.0, 'XLI': 0.0, 'XLK': 0.3156033856543454, 'XLY': 0.0, 'XLP': 0.0, 'XLU': 0.0, 'XLV': 0.0, 'XAU': 0.0}, 'turnover': 0.025761895266984913, 'transaction_cost': 1.2880947633492457e-05, 'gross_simple_return': 0.02521842763333064, 'net_simple_return': 0.025205546685697147, 'window_size': 252, 'cash_weight': 0.0}</t>
  </si>
  <si>
    <t>{'Regime 0': 0.09741055451201794, 'Regime 1': 0.8677809358878615, 'Regime 2': 0.03480850960012061}</t>
  </si>
  <si>
    <t>{'XLK': 0.36103577819519284}</t>
  </si>
  <si>
    <t>{'^SP500TR': 0.23896422180480714, 'LT09TRUU': 0.4, 'XLK': 0.36103577819519284}</t>
  </si>
  <si>
    <t>{'selected_satellites_str': 'XLK', 'candidate_id': 40, 'base_satellite_weights': {'XLK': 0.4}, 'conviction_scalar': {'XLK': 0.902589445487982}, 'realized_date': Timestamp('2020-02-29 00:00:00'), 'applied_weights_after_turnover_limit': {'^SP500TR': 0.23896422180480714, 'LT09TRUU': 0.4, 'XLB': 0.0, 'XLE': 0.0, 'XLF': 0.0, 'XLI': 0.0, 'XLK': 0.36103577819519284, 'XLY': 0.0, 'XLP': 0.0, 'XLU': 0.0, 'XLV': 0.0, 'XAU': 0.0}, 'turnover': 0.09086478508169482, 'transaction_cost': 4.543239254084741e-05, 'gross_simple_return': -0.03486041146995865, 'net_simple_return': -0.034905843862499494, 'window_size': 253, 'cash_weight': 0.0}</t>
  </si>
  <si>
    <t>{'Regime 0': 0.30716581886095046, 'Regime 1': 0.3725833397211139, 'Regime 2': 0.32025084141793564}</t>
  </si>
  <si>
    <t>{'XLK': 0.2771336724556198}</t>
  </si>
  <si>
    <t>{'^SP500TR': 0.32286632754438016, 'LT09TRUU': 0.4, 'XLK': 0.2771336724556198}</t>
  </si>
  <si>
    <t>{'selected_satellites_str': 'XLK', 'candidate_id': 40, 'base_satellite_weights': {'XLK': 0.4}, 'conviction_scalar': {'XLK': 0.6928341811390495}, 'realized_date': Timestamp('2020-03-31 00:00:00'), 'applied_weights_after_turnover_limit': {'^SP500TR': 0.32286632754438016, 'LT09TRUU': 0.4, 'XLB': 0.0, 'XLE': 0.0, 'XLF': 0.0, 'XLI': 0.0, 'XLK': 0.2771336724556198, 'XLY': 0.0, 'XLP': 0.0, 'XLU': 0.0, 'XLV': 0.0, 'XAU': 0.0}, 'turnover': 0.16780421147914604, 'transaction_cost': 8.390210573957302e-05, 'gross_simple_return': -0.052415860781618556, 'net_simple_return': -0.05249976288735813, 'window_size': 254, 'cash_weight': 0.0}</t>
  </si>
  <si>
    <t>{'Regime 0': 0.4831583604649943, 'Regime 1': 0.2249382760820141, 'Regime 2': 0.2919033634529916}</t>
  </si>
  <si>
    <t>{'XAU': 0.19326334418599772}</t>
  </si>
  <si>
    <t>{'^SP500TR': 0.40673665581400226, 'LT09TRUU': 0.4, 'XAU': 0.19326334418599772}</t>
  </si>
  <si>
    <t>{'selected_satellites_str': 'XAU', 'candidate_id': 80, 'base_satellite_weights': {'XAU': 0.4}, 'conviction_scalar': {'XAU': 0.4831583604649943}, 'realized_date': Timestamp('2020-04-30 00:00:00'), 'applied_weights_after_turnover_limit': {'^SP500TR': 0.40673665581400226, 'LT09TRUU': 0.4, 'XLB': 0.0, 'XLE': 0.0, 'XLF': 0.0, 'XLI': 0.0, 'XLK': 0.0, 'XLY': 0.0, 'XLP': 0.0, 'XLU': 0.0, 'XLV': 0.0, 'XAU': 0.19326334418599772}, 'turnover': 0.5542673449112396, 'transaction_cost': 0.0002771336724556198, 'gross_simple_return': 0.06673600531630082, 'net_simple_return': 0.0664588716438452, 'window_size': 255, 'cash_weight': 0.0}</t>
  </si>
  <si>
    <t>{'Regime 0': 0.021046752868086823, 'Regime 1': 0.9632618629190202, 'Regime 2': 0.01569138421289308}</t>
  </si>
  <si>
    <t>{'XLK': 0.3915812988527653}</t>
  </si>
  <si>
    <t>{'^SP500TR': 0.20841870114723465, 'LT09TRUU': 0.4, 'XLK': 0.3915812988527653}</t>
  </si>
  <si>
    <t>{'selected_satellites_str': 'XLK', 'candidate_id': 40, 'base_satellite_weights': {'XLK': 0.4}, 'conviction_scalar': {'XLK': 0.9789532471319132}, 'realized_date': Timestamp('2020-05-31 00:00:00'), 'applied_weights_after_turnover_limit': {'^SP500TR': 0.20841870114723465, 'LT09TRUU': 0.4, 'XLB': 0.0, 'XLE': 0.0, 'XLF': 0.0, 'XLI': 0.0, 'XLK': 0.3915812988527653, 'XLY': 0.0, 'XLP': 0.0, 'XLU': 0.0, 'XLV': 0.0, 'XAU': 0.0}, 'turnover': 0.7831625977055305, 'transaction_cost': 0.0003915812988527653, 'gross_simple_return': 0.03829830237428047, 'net_simple_return': 0.0379067210754277, 'window_size': 256, 'cash_weight': 0.0}</t>
  </si>
  <si>
    <t>{'Regime 0': 0.19330943449995056, 'Regime 1': 0.800888230195836, 'Regime 2': 0.0058023353042133}</t>
  </si>
  <si>
    <t>{'XLK': 0.3226762262000198}</t>
  </si>
  <si>
    <t>{'^SP500TR': 0.2773237737999802, 'LT09TRUU': 0.4, 'XLK': 0.3226762262000198}</t>
  </si>
  <si>
    <t>{'selected_satellites_str': 'XLK', 'candidate_id': 40, 'base_satellite_weights': {'XLK': 0.4}, 'conviction_scalar': {'XLK': 0.8066905655000495}, 'realized_date': Timestamp('2020-06-30 00:00:00'), 'applied_weights_after_turnover_limit': {'^SP500TR': 0.2773237737999802, 'LT09TRUU': 0.4, 'XLB': 0.0, 'XLE': 0.0, 'XLF': 0.0, 'XLI': 0.0, 'XLK': 0.3226762262000198, 'XLY': 0.0, 'XLP': 0.0, 'XLU': 0.0, 'XLV': 0.0, 'XAU': 0.0}, 'turnover': 0.13781014530549107, 'transaction_cost': 6.890507265274553e-05, 'gross_simple_return': 0.027734393789695708, 'net_simple_return': 0.02766548871704296, 'window_size': 257, 'cash_weight': 0.0}</t>
  </si>
  <si>
    <t>{'Regime 0': 0.2646193597718072, 'Regime 1': 0.7240804166398311, 'Regime 2': 0.011300223588361667}</t>
  </si>
  <si>
    <t>{'XLK': 0.29415225609127715}</t>
  </si>
  <si>
    <t>{'^SP500TR': 0.3058477439087228, 'LT09TRUU': 0.4, 'XLK': 0.29415225609127715}</t>
  </si>
  <si>
    <t>{'selected_satellites_str': 'XLK', 'candidate_id': 40, 'base_satellite_weights': {'XLK': 0.4}, 'conviction_scalar': {'XLK': 0.7353806402281928}, 'realized_date': Timestamp('2020-07-31 00:00:00'), 'applied_weights_after_turnover_limit': {'^SP500TR': 0.3058477439087228, 'LT09TRUU': 0.4, 'XLB': 0.0, 'XLE': 0.0, 'XLF': 0.0, 'XLI': 0.0, 'XLK': 0.29415225609127715, 'XLY': 0.0, 'XLP': 0.0, 'XLU': 0.0, 'XLV': 0.0, 'XAU': 0.0}, 'turnover': 0.05704794021748527, 'transaction_cost': 2.8523970108742637e-05, 'gross_simple_return': 0.037174588033392436, 'net_simple_return': 0.03714606406328369, 'window_size': 258, 'cash_weight': 0.0}</t>
  </si>
  <si>
    <t>{'Regime 0': 0.1086600738519281, 'Regime 1': 0.8871237943138013, 'Regime 2': 0.004216131834270639}</t>
  </si>
  <si>
    <t>{'XLK': 0.3565359704592288}</t>
  </si>
  <si>
    <t>{'^SP500TR': 0.24346402954077118, 'LT09TRUU': 0.4, 'XLK': 0.3565359704592288}</t>
  </si>
  <si>
    <t>{'selected_satellites_str': 'XLK', 'candidate_id': 40, 'base_satellite_weights': {'XLK': 0.4}, 'conviction_scalar': {'XLK': 0.8913399261480719}, 'realized_date': Timestamp('2020-08-31 00:00:00'), 'applied_weights_after_turnover_limit': {'^SP500TR': 0.24346402954077118, 'LT09TRUU': 0.4, 'XLB': 0.0, 'XLE': 0.0, 'XLF': 0.0, 'XLI': 0.0, 'XLK': 0.3565359704592288, 'XLY': 0.0, 'XLP': 0.0, 'XLU': 0.0, 'XLV': 0.0, 'XAU': 0.0}, 'turnover': 0.1247674287359033, 'transaction_cost': 6.238371436795165e-05, 'gross_simple_return': 0.05503584180916079, 'net_simple_return': 0.054973458094792836, 'window_size': 259, 'cash_weight': 0.0}</t>
  </si>
  <si>
    <t>{'Regime 0': 0.10343306219701145, 'Regime 1': 0.8932032509595631, 'Regime 2': 0.003363686843425554}</t>
  </si>
  <si>
    <t>{'XLK': 0.35862677512119545}</t>
  </si>
  <si>
    <t>{'^SP500TR': 0.24137322487880453, 'LT09TRUU': 0.4, 'XLK': 0.35862677512119545}</t>
  </si>
  <si>
    <t>{'selected_satellites_str': 'XLK', 'candidate_id': 40, 'base_satellite_weights': {'XLK': 0.4}, 'conviction_scalar': {'XLK': 0.8965669378029886}, 'realized_date': Timestamp('2020-09-30 00:00:00'), 'applied_weights_after_turnover_limit': {'^SP500TR': 0.24137322487880453, 'LT09TRUU': 0.4, 'XLB': 0.0, 'XLE': 0.0, 'XLF': 0.0, 'XLI': 0.0, 'XLK': 0.35862677512119545, 'XLY': 0.0, 'XLP': 0.0, 'XLU': 0.0, 'XLV': 0.0, 'XAU': 0.0}, 'turnover': 0.0041816093239333, 'transaction_cost': 2.09080466196665e-06, 'gross_simple_return': -0.027619378406326778, 'net_simple_return': -0.027621469210988743, 'window_size': 260, 'cash_weight': 0.0}</t>
  </si>
  <si>
    <t>{'Regime 0': 0.04466366329131224, 'Regime 1': 0.9550362846142147, 'Regime 2': 0.00030005209447306845}</t>
  </si>
  <si>
    <t>{'XLK': 0.38213453468347514}</t>
  </si>
  <si>
    <t>{'^SP500TR': 0.21786546531652484, 'LT09TRUU': 0.4, 'XLK': 0.38213453468347514}</t>
  </si>
  <si>
    <t>{'selected_satellites_str': 'XLK', 'candidate_id': 40, 'base_satellite_weights': {'XLK': 0.4}, 'conviction_scalar': {'XLK': 0.9553363367086878}, 'realized_date': Timestamp('2020-10-31 00:00:00'), 'applied_weights_after_turnover_limit': {'^SP500TR': 0.21786546531652484, 'LT09TRUU': 0.4, 'XLB': 0.0, 'XLE': 0.0, 'XLF': 0.0, 'XLI': 0.0, 'XLK': 0.38213453468347514, 'XLY': 0.0, 'XLP': 0.0, 'XLU': 0.0, 'XLV': 0.0, 'XAU': 0.0}, 'turnover': 0.04701551912455937, 'transaction_cost': 2.3507759562279684e-05, 'gross_simple_return': -0.030254979887261575, 'net_simple_return': -0.030278487646823855, 'window_size': 261, 'cash_weight': 0.0}</t>
  </si>
  <si>
    <t>{'Regime 0': 0.08909466846999665, 'Regime 1': 0.41492504994717216, 'Regime 2': 0.4959802815828312}</t>
  </si>
  <si>
    <t>{'XLK': 0.36436213261200134}</t>
  </si>
  <si>
    <t>{'^SP500TR': 0.23563786738799863, 'LT09TRUU': 0.4, 'XLK': 0.36436213261200134}</t>
  </si>
  <si>
    <t>{'selected_satellites_str': 'XLK', 'candidate_id': 40, 'base_satellite_weights': {'XLK': 0.4}, 'conviction_scalar': {'XLK': 0.9109053315300033}, 'realized_date': Timestamp('2020-11-30 00:00:00'), 'applied_weights_after_turnover_limit': {'^SP500TR': 0.23563786738799863, 'LT09TRUU': 0.4, 'XLB': 0.0, 'XLE': 0.0, 'XLF': 0.0, 'XLI': 0.0, 'XLK': 0.36436213261200134, 'XLY': 0.0, 'XLP': 0.0, 'XLU': 0.0, 'XLV': 0.0, 'XAU': 0.0}, 'turnover': 0.035544804142947584, 'transaction_cost': 1.7772402071473794e-05, 'gross_simple_return': 0.0669811340387858, 'net_simple_return': 0.06696336163671433, 'window_size': 262, 'cash_weight': 0.0}</t>
  </si>
  <si>
    <t>{'Regime 0': 0.04855090586580466, 'Regime 1': 0.9493658674367801, 'Regime 2': 0.0020832266974151734}</t>
  </si>
  <si>
    <t>{'XLK': 0.38057963765367814}</t>
  </si>
  <si>
    <t>{'^SP500TR': 0.21942036234632184, 'LT09TRUU': 0.4, 'XLK': 0.38057963765367814}</t>
  </si>
  <si>
    <t>{'selected_satellites_str': 'XLK', 'candidate_id': 40, 'base_satellite_weights': {'XLK': 0.4}, 'conviction_scalar': {'XLK': 0.9514490941341953}, 'realized_date': Timestamp('2020-12-31 00:00:00'), 'applied_weights_after_turnover_limit': {'^SP500TR': 0.21942036234632184, 'LT09TRUU': 0.4, 'XLB': 0.0, 'XLE': 0.0, 'XLF': 0.0, 'XLI': 0.0, 'XLK': 0.38057963765367814, 'XLY': 0.0, 'XLP': 0.0, 'XLU': 0.0, 'XLV': 0.0, 'XAU': 0.0}, 'turnover': 0.03243501008335359, 'transaction_cost': 1.6217505041676795e-05, 'gross_simple_return': 0.028066575096616357, 'net_simple_return': 0.02805035759157468, 'window_size': 263, 'cash_weight': 0.0}</t>
  </si>
  <si>
    <t>{'Regime 0': 0.10781947222202609, 'Regime 1': 0.8916665244794645, 'Regime 2': 0.0005140032985093622}</t>
  </si>
  <si>
    <t>{'XLK': 0.3568722111111896}</t>
  </si>
  <si>
    <t>{'^SP500TR': 0.24312778888881037, 'LT09TRUU': 0.4, 'XLK': 0.3568722111111896}</t>
  </si>
  <si>
    <t>{'selected_satellites_str': 'XLK', 'candidate_id': 40, 'base_satellite_weights': {'XLK': 0.4}, 'conviction_scalar': {'XLK': 0.892180527777974}, 'realized_date': Timestamp('2021-01-31 00:00:00'), 'applied_weights_after_turnover_limit': {'^SP500TR': 0.24312778888881037, 'LT09TRUU': 0.4, 'XLB': 0.0, 'XLE': 0.0, 'XLF': 0.0, 'XLI': 0.0, 'XLK': 0.3568722111111896, 'XLY': 0.0, 'XLP': 0.0, 'XLU': 0.0, 'XLV': 0.0, 'XAU': 0.0}, 'turnover': 0.04741485308497706, 'transaction_cost': 2.370742654248853e-05, 'gross_simple_return': -0.009777514742016663, 'net_simple_return': -0.009801222168559151, 'window_size': 264, 'cash_weight': 0.0}</t>
  </si>
  <si>
    <t>{'Regime 0': 0.05106540178835302, 'Regime 1': 0.9416920562787916, 'Regime 2': 0.007242541932855319}</t>
  </si>
  <si>
    <t>{'XLK': 0.3795738392846588}</t>
  </si>
  <si>
    <t>{'^SP500TR': 0.22042616071534116, 'LT09TRUU': 0.4, 'XLK': 0.3795738392846588}</t>
  </si>
  <si>
    <t>{'selected_satellites_str': 'XLK', 'candidate_id': 40, 'base_satellite_weights': {'XLK': 0.4}, 'conviction_scalar': {'XLK': 0.9489345982116469}, 'realized_date': Timestamp('2021-02-28 00:00:00'), 'applied_weights_after_turnover_limit': {'^SP500TR': 0.22042616071534116, 'LT09TRUU': 0.4, 'XLB': 0.0, 'XLE': 0.0, 'XLF': 0.0, 'XLI': 0.0, 'XLK': 0.3795738392846588, 'XLY': 0.0, 'XLP': 0.0, 'XLU': 0.0, 'XLV': 0.0, 'XAU': 0.0}, 'turnover': 0.045403256346938425, 'transaction_cost': 2.2701628173469213e-05, 'gross_simple_return': 0.0016701047623532597, 'net_simple_return': 0.0016474031341797905, 'window_size': 265, 'cash_weight': 0.0}</t>
  </si>
  <si>
    <t>{'Regime 0': 0.05622246921141538, 'Regime 1': 0.9268255282449477, 'Regime 2': 0.01695200254363693}</t>
  </si>
  <si>
    <t>{'XLK': 0.3775110123154339}</t>
  </si>
  <si>
    <t>{'^SP500TR': 0.2224889876845661, 'LT09TRUU': 0.4, 'XLK': 0.3775110123154339}</t>
  </si>
  <si>
    <t>{'selected_satellites_str': 'XLK', 'candidate_id': 40, 'base_satellite_weights': {'XLK': 0.4}, 'conviction_scalar': {'XLK': 0.9437775307885846}, 'realized_date': Timestamp('2021-03-31 00:00:00'), 'applied_weights_after_turnover_limit': {'^SP500TR': 0.2224889876845661, 'LT09TRUU': 0.4, 'XLB': 0.0, 'XLE': 0.0, 'XLF': 0.0, 'XLI': 0.0, 'XLK': 0.3775110123154339, 'XLY': 0.0, 'XLP': 0.0, 'XLU': 0.0, 'XLV': 0.0, 'XAU': 0.0}, 'turnover': 0.00412565393844988, 'transaction_cost': 2.06282696922494e-06, 'gross_simple_return': 0.006609212987781303, 'net_simple_return': 0.006607150160812078, 'window_size': 266, 'cash_weight': 0.0}</t>
  </si>
  <si>
    <t>{'Regime 0': 0.051899758219377534, 'Regime 1': 0.9402352589172909, 'Regime 2': 0.007864982863331618}</t>
  </si>
  <si>
    <t>{'XLK': 0.379240096712249}</t>
  </si>
  <si>
    <t>{'^SP500TR': 0.22075990328775097, 'LT09TRUU': 0.4, 'XLK': 0.379240096712249}</t>
  </si>
  <si>
    <t>{'selected_satellites_str': 'XLK', 'candidate_id': 40, 'base_satellite_weights': {'XLK': 0.4}, 'conviction_scalar': {'XLK': 0.9481002417806225}, 'realized_date': Timestamp('2021-04-30 00:00:00'), 'applied_weights_after_turnover_limit': {'^SP500TR': 0.22075990328775097, 'LT09TRUU': 0.4, 'XLB': 0.0, 'XLE': 0.0, 'XLF': 0.0, 'XLI': 0.0, 'XLK': 0.379240096712249, 'XLY': 0.0, 'XLP': 0.0, 'XLU': 0.0, 'XLV': 0.0, 'XAU': 0.0}, 'turnover': 0.0034581687936302563, 'transaction_cost': 1.7290843968151282e-06, 'gross_simple_return': 0.03528273351200435, 'net_simple_return': 0.03528100442760754, 'window_size': 267, 'cash_weight': 0.0}</t>
  </si>
  <si>
    <t>{'Regime 0': 0.05042202493354213, 'Regime 1': 0.9465696047543405, 'Regime 2': 0.003008370312117463}</t>
  </si>
  <si>
    <t>{'XLK': 0.37983119002658317}</t>
  </si>
  <si>
    <t>{'^SP500TR': 0.2201688099734168, 'LT09TRUU': 0.4, 'XLK': 0.37983119002658317}</t>
  </si>
  <si>
    <t>{'selected_satellites_str': 'XLK', 'candidate_id': 40, 'base_satellite_weights': {'XLK': 0.4}, 'conviction_scalar': {'XLK': 0.9495779750664579}, 'realized_date': Timestamp('2021-05-31 00:00:00'), 'applied_weights_after_turnover_limit': {'^SP500TR': 0.2201688099734168, 'LT09TRUU': 0.4, 'XLB': 0.0, 'XLE': 0.0, 'XLF': 0.0, 'XLI': 0.0, 'XLK': 0.37983119002658317, 'XLY': 0.0, 'XLP': 0.0, 'XLU': 0.0, 'XLV': 0.0, 'XAU': 0.0}, 'turnover': 0.0011821866286683136, 'transaction_cost': 5.910933143341568e-07, 'gross_simple_return': 0.00043233172551734205, 'net_simple_return': 0.0004317406322030079, 'window_size': 268, 'cash_weight': 0.0}</t>
  </si>
  <si>
    <t>{'Regime 0': 0.050673593847001715, 'Regime 1': 0.9449846372008454, 'Regime 2': 0.004341768952152899}</t>
  </si>
  <si>
    <t>{'XLK': 0.3797305624611993}</t>
  </si>
  <si>
    <t>{'^SP500TR': 0.22026943753880068, 'LT09TRUU': 0.4, 'XLK': 0.3797305624611993}</t>
  </si>
  <si>
    <t>{'selected_satellites_str': 'XLK', 'candidate_id': 40, 'base_satellite_weights': {'XLK': 0.4}, 'conviction_scalar': {'XLK': 0.9493264061529982}, 'realized_date': Timestamp('2021-06-30 00:00:00'), 'applied_weights_after_turnover_limit': {'^SP500TR': 0.22026943753880068, 'LT09TRUU': 0.4, 'XLB': 0.0, 'XLE': 0.0, 'XLF': 0.0, 'XLI': 0.0, 'XLK': 0.3797305624611993, 'XLY': 0.0, 'XLP': 0.0, 'XLU': 0.0, 'XLV': 0.0, 'XAU': 0.0}, 'turnover': 0.00020125513076774126, 'transaction_cost': 1.0062756538387064e-07, 'gross_simple_return': 0.03437071563460448, 'net_simple_return': 0.0343706150070391, 'window_size': 269, 'cash_weight': 0.0}</t>
  </si>
  <si>
    <t>{'Regime 0': 0.052172430639487455, 'Regime 1': 0.9442257207061503, 'Regime 2': 0.0036018486543622527}</t>
  </si>
  <si>
    <t>{'XLK': 0.37913102774420504}</t>
  </si>
  <si>
    <t>{'^SP500TR': 0.22086897225579494, 'LT09TRUU': 0.4, 'XLK': 0.37913102774420504}</t>
  </si>
  <si>
    <t>{'selected_satellites_str': 'XLK', 'candidate_id': 40, 'base_satellite_weights': {'XLK': 0.4}, 'conviction_scalar': {'XLK': 0.9478275693605125}, 'realized_date': Timestamp('2021-07-31 00:00:00'), 'applied_weights_after_turnover_limit': {'^SP500TR': 0.22086897225579494, 'LT09TRUU': 0.4, 'XLB': 0.0, 'XLE': 0.0, 'XLF': 0.0, 'XLI': 0.0, 'XLK': 0.37913102774420504, 'XLY': 0.0, 'XLP': 0.0, 'XLU': 0.0, 'XLV': 0.0, 'XAU': 0.0}, 'turnover': 0.0011990694339885088, 'transaction_cost': 5.995347169942545e-07, 'gross_simple_return': 0.027974233805087987, 'net_simple_return': 0.027973634270370994, 'window_size': 270, 'cash_weight': 0.0}</t>
  </si>
  <si>
    <t>{'Regime 0': 0.051084066835932126, 'Regime 1': 0.9477958737081511, 'Regime 2': 0.0011200594559168033}</t>
  </si>
  <si>
    <t>{'XLK': 0.37956637326562714}</t>
  </si>
  <si>
    <t>{'^SP500TR': 0.22043362673437283, 'LT09TRUU': 0.4, 'XLK': 0.37956637326562714}</t>
  </si>
  <si>
    <t>{'selected_satellites_str': 'XLK', 'candidate_id': 40, 'base_satellite_weights': {'XLK': 0.4}, 'conviction_scalar': {'XLK': 0.9489159331640679}, 'realized_date': Timestamp('2021-08-31 00:00:00'), 'applied_weights_after_turnover_limit': {'^SP500TR': 0.22043362673437283, 'LT09TRUU': 0.4, 'XLB': 0.0, 'XLE': 0.0, 'XLF': 0.0, 'XLI': 0.0, 'XLK': 0.37956637326562714, 'XLY': 0.0, 'XLP': 0.0, 'XLU': 0.0, 'XLV': 0.0, 'XAU': 0.0}, 'turnover': 0.0008706910428442072, 'transaction_cost': 4.353455214221036e-07, 'gross_simple_return': 0.0184466875170559, 'net_simple_return': 0.01844625217153448, 'window_size': 271, 'cash_weight': 0.0}</t>
  </si>
  <si>
    <t>{'Regime 0': 0.052221835138955744, 'Regime 1': 0.9430146188916143, 'Regime 2': 0.0047635459694299435}</t>
  </si>
  <si>
    <t>{'XLK': 0.37911126594441774}</t>
  </si>
  <si>
    <t>{'^SP500TR': 0.22088873405558224, 'LT09TRUU': 0.4, 'XLK': 0.37911126594441774}</t>
  </si>
  <si>
    <t>{'selected_satellites_str': 'XLK', 'candidate_id': 40, 'base_satellite_weights': {'XLK': 0.4}, 'conviction_scalar': {'XLK': 0.9477781648610443}, 'realized_date': Timestamp('2021-09-30 00:00:00'), 'applied_weights_after_turnover_limit': {'^SP500TR': 0.22088873405558224, 'LT09TRUU': 0.4, 'XLB': 0.0, 'XLE': 0.0, 'XLF': 0.0, 'XLI': 0.0, 'XLK': 0.37911126594441774, 'XLY': 0.0, 'XLP': 0.0, 'XLU': 0.0, 'XLV': 0.0, 'XAU': 0.0}, 'turnover': 0.0009102146424188051, 'transaction_cost': 4.5510732120940256e-07, 'gross_simple_return': -0.03896094331306955, 'net_simple_return': -0.03896139842039076, 'window_size': 272, 'cash_weight': 0.0}</t>
  </si>
  <si>
    <t>{'Regime 0': 0.04971305925084427, 'Regime 1': 0.9473733805302957, 'Regime 2': 0.0029135602188600355}</t>
  </si>
  <si>
    <t>{'XLK': 0.38011477629966234}</t>
  </si>
  <si>
    <t>{'^SP500TR': 0.21988522370033764, 'LT09TRUU': 0.4, 'XLK': 0.38011477629966234}</t>
  </si>
  <si>
    <t>{'selected_satellites_str': 'XLK', 'candidate_id': 40, 'base_satellite_weights': {'XLK': 0.4}, 'conviction_scalar': {'XLK': 0.9502869407491558}, 'realized_date': Timestamp('2021-10-31 00:00:00'), 'applied_weights_after_turnover_limit': {'^SP500TR': 0.21988522370033764, 'LT09TRUU': 0.4, 'XLB': 0.0, 'XLE': 0.0, 'XLF': 0.0, 'XLI': 0.0, 'XLK': 0.38011477629966234, 'XLY': 0.0, 'XLP': 0.0, 'XLU': 0.0, 'XLV': 0.0, 'XAU': 0.0}, 'turnover': 0.0020070207104891935, 'transaction_cost': 1.0035103552445968e-06, 'gross_simple_return': 0.043927990509937696, 'net_simple_return': 0.04392698699958245, 'window_size': 273, 'cash_weight': 0.0}</t>
  </si>
  <si>
    <t>{'Regime 0': 0.048119309246223, 'Regime 1': 0.9515200416233432, 'Regime 2': 0.0003606491304338295}</t>
  </si>
  <si>
    <t>{'XLK': 0.3807522763015108}</t>
  </si>
  <si>
    <t>{'^SP500TR': 0.21924772369848916, 'LT09TRUU': 0.4, 'XLK': 0.3807522763015108}</t>
  </si>
  <si>
    <t>{'selected_satellites_str': 'XLK', 'candidate_id': 40, 'base_satellite_weights': {'XLK': 0.4}, 'conviction_scalar': {'XLK': 0.951880690753777}, 'realized_date': Timestamp('2021-11-30 00:00:00'), 'applied_weights_after_turnover_limit': {'^SP500TR': 0.21924772369848916, 'LT09TRUU': 0.4, 'XLB': 0.0, 'XLE': 0.0, 'XLF': 0.0, 'XLI': 0.0, 'XLK': 0.3807522763015108, 'XLY': 0.0, 'XLP': 0.0, 'XLU': 0.0, 'XLV': 0.0, 'XAU': 0.0}, 'turnover': 0.0012750000036969578, 'transaction_cost': 6.375000018484789e-07, 'gross_simple_return': 0.01958889134329608, 'net_simple_return': 0.01958825384329423, 'window_size': 274, 'cash_weight': 0.0}</t>
  </si>
  <si>
    <t>{'Regime 0': 0.09298849863749306, 'Regime 1': 0.8970992688699716, 'Regime 2': 0.009912232492535391}</t>
  </si>
  <si>
    <t>{'XLK': 0.3628046005450028}</t>
  </si>
  <si>
    <t>{'^SP500TR': 0.23719539945499718, 'LT09TRUU': 0.4, 'XLK': 0.3628046005450028}</t>
  </si>
  <si>
    <t>{'selected_satellites_str': 'XLK', 'candidate_id': 40, 'base_satellite_weights': {'XLK': 0.4}, 'conviction_scalar': {'XLK': 0.907011501362507}, 'realized_date': Timestamp('2021-12-31 00:00:00'), 'applied_weights_after_turnover_limit': {'^SP500TR': 0.23719539945499718, 'LT09TRUU': 0.4, 'XLB': 0.0, 'XLE': 0.0, 'XLF': 0.0, 'XLI': 0.0, 'XLK': 0.3628046005450028, 'XLY': 0.0, 'XLP': 0.0, 'XLU': 0.0, 'XLV': 0.0, 'XAU': 0.0}, 'turnover': 0.03589535151301604, 'transaction_cost': 1.7947675756508018e-05, 'gross_simple_return': 0.02098201513580545, 'net_simple_return': 0.020964067460048943, 'window_size': 275, 'cash_weight': 0.0}</t>
  </si>
  <si>
    <t>{'Regime 0': 0.10656586677381431, 'Regime 1': 0.6383410702457092, 'Regime 2': 0.2550930629804765}</t>
  </si>
  <si>
    <t>{'XLK': 0.3573736532904743}</t>
  </si>
  <si>
    <t>{'^SP500TR': 0.24262634670952565, 'LT09TRUU': 0.4, 'XLK': 0.3573736532904743}</t>
  </si>
  <si>
    <t>{'selected_satellites_str': 'XLK', 'candidate_id': 40, 'base_satellite_weights': {'XLK': 0.4}, 'conviction_scalar': {'XLK': 0.8934341332261857}, 'realized_date': Timestamp('2022-01-31 00:00:00'), 'applied_weights_after_turnover_limit': {'^SP500TR': 0.24262634670952565, 'LT09TRUU': 0.4, 'XLB': 0.0, 'XLE': 0.0, 'XLF': 0.0, 'XLI': 0.0, 'XLK': 0.3573736532904743, 'XLY': 0.0, 'XLP': 0.0, 'XLU': 0.0, 'XLV': 0.0, 'XAU': 0.0}, 'turnover': 0.010861894509056946, 'transaction_cost': 5.430947254528474e-06, 'gross_simple_return': -0.04662975100833302, 'net_simple_return': -0.046635181955587544, 'window_size': 276, 'cash_weight': 0.0}</t>
  </si>
  <si>
    <t>{'Regime 0': 0.00035123397245429255, 'Regime 1': 0.0030442815893563205, 'Regime 2': 0.9966044844381893}</t>
  </si>
  <si>
    <t>{'XLK': 0.3998595064110183}</t>
  </si>
  <si>
    <t>{'^SP500TR': 0.20014049358898167, 'LT09TRUU': 0.4, 'XLK': 0.3998595064110183}</t>
  </si>
  <si>
    <t>{'selected_satellites_str': 'XLK', 'candidate_id': 40, 'base_satellite_weights': {'XLK': 0.4}, 'conviction_scalar': {'XLK': 0.9996487660275457}, 'realized_date': Timestamp('2022-02-28 00:00:00'), 'applied_weights_after_turnover_limit': {'^SP500TR': 0.20014049358898167, 'LT09TRUU': 0.4, 'XLB': 0.0, 'XLE': 0.0, 'XLF': 0.0, 'XLI': 0.0, 'XLK': 0.3998595064110183, 'XLY': 0.0, 'XLP': 0.0, 'XLU': 0.0, 'XLV': 0.0, 'XAU': 0.0}, 'turnover': 0.08497170624108796, 'transaction_cost': 4.248585312054398e-05, 'gross_simple_return': -0.02701541504215954, 'net_simple_return': -0.027057900895280085, 'window_size': 277, 'cash_weight': 0.0}</t>
  </si>
  <si>
    <t>{'Regime 0': 0.08794041860251335, 'Regime 1': 0.21444411241797115, 'Regime 2': 0.6976154689795155}</t>
  </si>
  <si>
    <t>{'XLK': 0.3648238325589947}</t>
  </si>
  <si>
    <t>{'^SP500TR': 0.23517616744100528, 'LT09TRUU': 0.4, 'XLK': 0.3648238325589947}</t>
  </si>
  <si>
    <t>{'selected_satellites_str': 'XLK', 'candidate_id': 40, 'base_satellite_weights': {'XLK': 0.4}, 'conviction_scalar': {'XLK': 0.9120595813974867}, 'realized_date': Timestamp('2022-03-31 00:00:00'), 'applied_weights_after_turnover_limit': {'^SP500TR': 0.23517616744100528, 'LT09TRUU': 0.4, 'XLB': 0.0, 'XLE': 0.0, 'XLF': 0.0, 'XLI': 0.0, 'XLK': 0.3648238325589947, 'XLY': 0.0, 'XLP': 0.0, 'XLU': 0.0, 'XLV': 0.0, 'XAU': 0.0}, 'turnover': 0.07007134770404722, 'transaction_cost': 3.503567385202361e-05, 'gross_simple_return': 0.004058195227547351, 'net_simple_return': 0.0040231595536953275, 'window_size': 278, 'cash_weight': 0.0}</t>
  </si>
  <si>
    <t>{'Regime 0': 0.07030779390120691, 'Regime 1': 0.9241040274609751, 'Regime 2': 0.005588178637818012}</t>
  </si>
  <si>
    <t>{'XLK': 0.3718768824395173}</t>
  </si>
  <si>
    <t>{'^SP500TR': 0.2281231175604827, 'LT09TRUU': 0.4, 'XLK': 0.3718768824395173}</t>
  </si>
  <si>
    <t>{'selected_satellites_str': 'XLK', 'candidate_id': 40, 'base_satellite_weights': {'XLK': 0.4}, 'conviction_scalar': {'XLK': 0.9296922060987931}, 'realized_date': Timestamp('2022-04-30 00:00:00'), 'applied_weights_after_turnover_limit': {'^SP500TR': 0.2281231175604827, 'LT09TRUU': 0.4, 'XLB': 0.0, 'XLE': 0.0, 'XLF': 0.0, 'XLI': 0.0, 'XLK': 0.3718768824395173, 'XLY': 0.0, 'XLP': 0.0, 'XLU': 0.0, 'XLV': 0.0, 'XAU': 0.0}, 'turnover': 0.014106099761045154, 'transaction_cost': 7.0530498805225776e-06, 'gross_simple_return': -0.0781009959310658, 'net_simple_return': -0.07810804898094632, 'window_size': 279, 'cash_weight': 0.0}</t>
  </si>
  <si>
    <t>{'Regime 0': 0.166992284612748, 'Regime 1': 0.5231229238528791, 'Regime 2': 0.3098847915343731}</t>
  </si>
  <si>
    <t>{'XLK': 0.3332030861549008}</t>
  </si>
  <si>
    <t>{'^SP500TR': 0.2667969138450992, 'LT09TRUU': 0.4, 'XLK': 0.3332030861549008}</t>
  </si>
  <si>
    <t>{'selected_satellites_str': 'XLK', 'candidate_id': 40, 'base_satellite_weights': {'XLK': 0.4}, 'conviction_scalar': {'XLK': 0.8330077153872519}, 'realized_date': Timestamp('2022-05-31 00:00:00'), 'applied_weights_after_turnover_limit': {'^SP500TR': 0.2667969138450992, 'LT09TRUU': 0.4, 'XLB': 0.0, 'XLE': 0.0, 'XLF': 0.0, 'XLI': 0.0, 'XLK': 0.3332030861549008, 'XLY': 0.0, 'XLP': 0.0, 'XLU': 0.0, 'XLV': 0.0, 'XAU': 0.0}, 'turnover': 0.07734759256923296, 'transaction_cost': 3.867379628461648e-05, 'gross_simple_return': 0.0009528635727571875, 'net_simple_return': 0.000914189776472571, 'window_size': 280, 'cash_weight': 0.0}</t>
  </si>
  <si>
    <t>{'Regime 0': 0.11039736060474188, 'Regime 1': 0.006275452124970375, 'Regime 2': 0.8833271872702878}</t>
  </si>
  <si>
    <t>{'XLK': 0.35584105575810326}</t>
  </si>
  <si>
    <t>{'^SP500TR': 0.2441589442418967, 'LT09TRUU': 0.4, 'XLK': 0.35584105575810326}</t>
  </si>
  <si>
    <t>{'selected_satellites_str': 'XLK', 'candidate_id': 40, 'base_satellite_weights': {'XLK': 0.4}, 'conviction_scalar': {'XLK': 0.8896026393952581}, 'realized_date': Timestamp('2022-06-30 00:00:00'), 'applied_weights_after_turnover_limit': {'^SP500TR': 0.2441589442418967, 'LT09TRUU': 0.4, 'XLB': 0.0, 'XLE': 0.0, 'XLF': 0.0, 'XLI': 0.0, 'XLK': 0.35584105575810326, 'XLY': 0.0, 'XLP': 0.0, 'XLU': 0.0, 'XLV': 0.0, 'XAU': 0.0}, 'turnover': 0.045275939206404936, 'transaction_cost': 2.263796960320247e-05, 'gross_simple_return': -0.057781200904570784, 'net_simple_return': -0.057803838874173986, 'window_size': 281, 'cash_weight': 0.0}</t>
  </si>
  <si>
    <t>{'Regime 0': 0.5547440477048705, 'Regime 1': 0.08932848492356751, 'Regime 2': 0.355927467371562}</t>
  </si>
  <si>
    <t>{'XAU': 0.22189761908194822}</t>
  </si>
  <si>
    <t>{'^SP500TR': 0.37810238091805176, 'LT09TRUU': 0.4, 'XAU': 0.22189761908194822}</t>
  </si>
  <si>
    <t>{'selected_satellites_str': 'XAU', 'candidate_id': 80, 'base_satellite_weights': {'XAU': 0.4}, 'conviction_scalar': {'XAU': 0.5547440477048705}, 'realized_date': Timestamp('2022-07-31 00:00:00'), 'applied_weights_after_turnover_limit': {'^SP500TR': 0.37810238091805176, 'LT09TRUU': 0.4, 'XLB': 0.0, 'XLE': 0.0, 'XLF': 0.0, 'XLI': 0.0, 'XLK': 0.0, 'XLY': 0.0, 'XLP': 0.0, 'XLU': 0.0, 'XLV': 0.0, 'XAU': 0.22189761908194822}, 'turnover': 0.7116821115162065, 'transaction_cost': 0.0003558410557581033, 'gross_simple_return': 0.04110977135526879, 'net_simple_return': 0.04075393029951069, 'window_size': 282, 'cash_weight': 0.0}</t>
  </si>
  <si>
    <t>{'Regime 0': 0.037667564365869384, 'Regime 1': 0.962000988824506, 'Regime 2': 0.00033144680962466077}</t>
  </si>
  <si>
    <t>{'XLK': 0.38493297425365225}</t>
  </si>
  <si>
    <t>{'^SP500TR': 0.21506702574634773, 'LT09TRUU': 0.4, 'XLK': 0.38493297425365225}</t>
  </si>
  <si>
    <t>{'selected_satellites_str': 'XLK', 'candidate_id': 40, 'base_satellite_weights': {'XLK': 0.4}, 'conviction_scalar': {'XLK': 0.9623324356341306}, 'realized_date': Timestamp('2022-08-31 00:00:00'), 'applied_weights_after_turnover_limit': {'^SP500TR': 0.21506702574634773, 'LT09TRUU': 0.4, 'XLB': 0.0, 'XLE': 0.0, 'XLF': 0.0, 'XLI': 0.0, 'XLK': 0.38493297425365225, 'XLY': 0.0, 'XLP': 0.0, 'XLU': 0.0, 'XLV': 0.0, 'XAU': 0.0}, 'turnover': 0.7698659485073045, 'transaction_cost': 0.00038493297425365225, 'gross_simple_return': -0.048066762104490963, 'net_simple_return': -0.04845169507874462, 'window_size': 283, 'cash_weight': 0.0}</t>
  </si>
  <si>
    <t>{'Regime 0': 0.062035971671341644, 'Regime 1': 0.9340294069425654, 'Regime 2': 0.00393462138609293}</t>
  </si>
  <si>
    <t>XLE, XLK</t>
  </si>
  <si>
    <t>{'XLE': 0.046898201416432916, 'XLK': 0.3282874099150304}</t>
  </si>
  <si>
    <t>{'^SP500TR': 0.22481438866853665, 'LT09TRUU': 0.4, 'XLE': 0.046898201416432916, 'XLK': 0.3282874099150304}</t>
  </si>
  <si>
    <t>{'selected_satellites_str': 'XLE, XLK', 'candidate_id': 395, 'base_satellite_weights': {'XLE': 0.05, 'XLK': 0.35}, 'conviction_scalar': {'XLE': 0.9379640283286583, 'XLK': 0.9379640283286583}, 'realized_date': Timestamp('2022-09-30 00:00:00'), 'applied_weights_after_turnover_limit': {'^SP500TR': 0.22481438866853665, 'LT09TRUU': 0.4, 'XLB': 0.0, 'XLE': 0.046898201416432916, 'XLF': 0.0, 'XLI': 0.0, 'XLK': 0.3282874099150304, 'XLY': 0.0, 'XLP': 0.0, 'XLU': 0.0, 'XLV': 0.0, 'XAU': 0.0}, 'turnover': 0.11329112867724367, 'transaction_cost': 5.664556433862184e-05, 'gross_simple_return': -0.0837709347727409, 'net_simple_return': -0.08382758033707953, 'window_size': 284, 'cash_weight': 0.0}</t>
  </si>
  <si>
    <t>{'Regime 0': 0.002839657271005922, 'Regime 1': 0.001969751726045032, 'Regime 2': 0.9951905910029492}</t>
  </si>
  <si>
    <t>{'XLE': 0.09971603427289942, 'XLK': 0.29914810281869825}</t>
  </si>
  <si>
    <t>{'^SP500TR': 0.2011358629084023, 'LT09TRUU': 0.4, 'XLE': 0.09971603427289942, 'XLK': 0.29914810281869825}</t>
  </si>
  <si>
    <t>{'selected_satellites_str': 'XLE, XLK', 'candidate_id': 401, 'base_satellite_weights': {'XLE': 0.1, 'XLK': 0.3}, 'conviction_scalar': {'XLE': 0.9971603427289941, 'XLK': 0.9971603427289941}, 'realized_date': Timestamp('2022-10-31 00:00:00'), 'applied_weights_after_turnover_limit': {'^SP500TR': 0.2011358629084023, 'LT09TRUU': 0.4, 'XLB': 0.0, 'XLE': 0.09971603427289942, 'XLF': 0.0, 'XLI': 0.0, 'XLK': 0.29914810281869825, 'XLY': 0.0, 'XLP': 0.0, 'XLU': 0.0, 'XLV': 0.0, 'XAU': 0.0}, 'turnover': 0.10563566571293302, 'transaction_cost': 5.281783285646651e-05, 'gross_simple_return': 0.05571133603367851, 'net_simple_return': 0.055658518200822044, 'window_size': 285, 'cash_weight': 0.0}</t>
  </si>
  <si>
    <t>{'Regime 0': 0.017253264815839626, 'Regime 1': 0.982656601032592, 'Regime 2': 9.013415156830432e-05}</t>
  </si>
  <si>
    <t>{'XLE': 0.14741201027762404, 'XLK': 0.24568668379604008}</t>
  </si>
  <si>
    <t>{'^SP500TR': 0.20690130592633582, 'LT09TRUU': 0.4, 'XLE': 0.14741201027762404, 'XLK': 0.24568668379604008}</t>
  </si>
  <si>
    <t>{'selected_satellites_str': 'XLE, XLK', 'candidate_id': 406, 'base_satellite_weights': {'XLE': 0.15, 'XLK': 0.25}, 'conviction_scalar': {'XLE': 0.9827467351841603, 'XLK': 0.9827467351841603}, 'realized_date': Timestamp('2022-11-30 00:00:00'), 'applied_weights_after_turnover_limit': {'^SP500TR': 0.20690130592633582, 'LT09TRUU': 0.4, 'XLB': 0.0, 'XLE': 0.14741201027762404, 'XLF': 0.0, 'XLI': 0.0, 'XLK': 0.24568668379604008, 'XLY': 0.0, 'XLP': 0.0, 'XLU': 0.0, 'XLV': 0.0, 'XAU': 0.0}, 'turnover': 0.10692283804531631, 'transaction_cost': 5.346141902265816e-05, 'gross_simple_return': 0.04319258540664447, 'net_simple_return': 0.043139123987621805, 'window_size': 286, 'cash_weight': 0.0}</t>
  </si>
  <si>
    <t>{'Regime 0': 0.10213901909583137, 'Regime 1': 0.8977914694154325, 'Regime 2': 6.951148873614183e-05}</t>
  </si>
  <si>
    <t>{'XLK': 0.22446524522604216, 'XLU': 0.015320852864374705}</t>
  </si>
  <si>
    <t>{'^SP500TR': 0.36021390190958313, 'LT09TRUU': 0.4, 'XLK': 0.22446524522604216, 'XLU': 0.015320852864374705}</t>
  </si>
  <si>
    <t>{'selected_satellites_str': 'XLK, XLU', 'candidate_id': 1001, 'base_satellite_weights': {'XLK': 0.25, 'XLU': 0.15}, 'conviction_scalar': {'XLK': 0.8978609809041687, 'XLU': 0.10213901909583137}, 'realized_date': Timestamp('2022-12-31 00:00:00'), 'applied_weights_after_turnover_limit': {'^SP500TR': 0.36021390190958313, 'LT09TRUU': 0.4, 'XLB': 0.0, 'XLE': 0.0, 'XLF': 0.0, 'XLI': 0.0, 'XLK': 0.22446524522604216, 'XLY': 0.0, 'XLP': 0.0, 'XLU': 0.015320852864374705, 'XLV': 0.0, 'XAU': 0.0}, 'turnover': 0.337266897695244, 'transaction_cost': 0.000168633448847622, 'gross_simple_return': -0.04416465520798778, 'net_simple_return': -0.0443332886568354, 'window_size': 287, 'cash_weight': 0.0}</t>
  </si>
  <si>
    <t>{'Regime 0': 0.15419667258509692, 'Regime 1': 0.819676521474461, 'Regime 2': 0.0261268059404421}</t>
  </si>
  <si>
    <t>{'XLE': 0.16916066548298062, 'XLK': 0.16916066548298062}</t>
  </si>
  <si>
    <t>{'^SP500TR': 0.26167866903403875, 'LT09TRUU': 0.4, 'XLE': 0.16916066548298062, 'XLK': 0.16916066548298062}</t>
  </si>
  <si>
    <t>{'selected_satellites_str': 'XLE, XLK', 'candidate_id': 410, 'base_satellite_weights': {'XLE': 0.2, 'XLK': 0.2}, 'conviction_scalar': {'XLE': 0.845803327414903, 'XLK': 0.845803327414903}, 'realized_date': Timestamp('2023-01-31 00:00:00'), 'applied_weights_after_turnover_limit': {'^SP500TR': 0.26167866903403875, 'LT09TRUU': 0.4, 'XLB': 0.0, 'XLE': 0.16916066548298062, 'XLF': 0.0, 'XLI': 0.0, 'XLK': 0.16916066548298062, 'XLY': 0.0, 'XLP': 0.0, 'XLU': 0.0, 'XLV': 0.0, 'XAU': 0.0}, 'turnover': 0.3383213309659613, 'transaction_cost': 0.00016916066548298064, 'gross_simple_return': 0.049337754993798145, 'net_simple_return': 0.04916859432831516, 'window_size': 288, 'cash_weight': 0.0}</t>
  </si>
  <si>
    <t>{'Regime 0': 0.2232648340700878, 'Regime 1': 0.03757104969113407, 'Regime 2': 0.7391641162387782}</t>
  </si>
  <si>
    <t>{'XLK': 0.3106940663719649}</t>
  </si>
  <si>
    <t>{'^SP500TR': 0.2893059336280351, 'LT09TRUU': 0.4, 'XLK': 0.3106940663719649}</t>
  </si>
  <si>
    <t>{'selected_satellites_str': 'XLK', 'candidate_id': 40, 'base_satellite_weights': {'XLK': 0.4}, 'conviction_scalar': {'XLK': 0.7767351659299122}, 'realized_date': Timestamp('2023-02-28 00:00:00'), 'applied_weights_after_turnover_limit': {'^SP500TR': 0.2893059336280351, 'LT09TRUU': 0.4, 'XLB': 0.0, 'XLE': 0.0, 'XLF': 0.0, 'XLI': 0.0, 'XLK': 0.3106940663719649, 'XLY': 0.0, 'XLP': 0.0, 'XLU': 0.0, 'XLV': 0.0, 'XAU': 0.0}, 'turnover': 0.33832133096596123, 'transaction_cost': 0.0001691606654829806, 'gross_simple_return': -0.018802362496478014, 'net_simple_return': -0.018971523161960994, 'window_size': 289, 'cash_weight': 0.0}</t>
  </si>
  <si>
    <t>{'Regime 0': 0.07647437242220768, 'Regime 1': 0.07344500172492918, 'Regime 2': 0.8500806258528631}</t>
  </si>
  <si>
    <t>{'XLE': 0.04617628137888962, 'XLK': 0.3232339696522273}</t>
  </si>
  <si>
    <t>{'^SP500TR': 0.23058974896888307, 'LT09TRUU': 0.4, 'XLE': 0.04617628137888962, 'XLK': 0.3232339696522273}</t>
  </si>
  <si>
    <t>{'selected_satellites_str': 'XLE, XLK', 'candidate_id': 395, 'base_satellite_weights': {'XLE': 0.05, 'XLK': 0.35}, 'conviction_scalar': {'XLE': 0.9235256275777923, 'XLK': 0.9235256275777923}, 'realized_date': Timestamp('2023-03-31 00:00:00'), 'applied_weights_after_turnover_limit': {'^SP500TR': 0.23058974896888307, 'LT09TRUU': 0.4, 'XLB': 0.0, 'XLE': 0.04617628137888962, 'XLF': 0.0, 'XLI': 0.0, 'XLK': 0.3232339696522273, 'XLY': 0.0, 'XLP': 0.0, 'XLU': 0.0, 'XLV': 0.0, 'XAU': 0.0}, 'turnover': 0.11743236931830403, 'transaction_cost': 5.8716184659152015e-05, 'gross_simple_return': 0.05767949739207746, 'net_simple_return': 0.05762078120741831, 'window_size': 290, 'cash_weight': 0.0}</t>
  </si>
  <si>
    <t>{'Regime 0': 0.05652104108655981, 'Regime 1': 0.05937733251664099, 'Regime 2': 0.8841016263967992}</t>
  </si>
  <si>
    <t>{'XLK': 0.3773915835653761}</t>
  </si>
  <si>
    <t>{'^SP500TR': 0.22260841643462387, 'LT09TRUU': 0.4, 'XLK': 0.3773915835653761}</t>
  </si>
  <si>
    <t>{'selected_satellites_str': 'XLK', 'candidate_id': 40, 'base_satellite_weights': {'XLK': 0.4}, 'conviction_scalar': {'XLK': 0.9434789589134402}, 'realized_date': Timestamp('2023-04-30 00:00:00'), 'applied_weights_after_turnover_limit': {'^SP500TR': 0.22260841643462387, 'LT09TRUU': 0.4, 'XLB': 0.0, 'XLE': 0.0, 'XLF': 0.0, 'XLI': 0.0, 'XLK': 0.3773915835653761, 'XLY': 0.0, 'XLP': 0.0, 'XLU': 0.0, 'XLV': 0.0, 'XAU': 0.0}, 'turnover': 0.10831522782629766, 'transaction_cost': 5.415761391314883e-05, 'gross_simple_return': 0.006447152298285205, 'net_simple_return': 0.006392994684372056, 'window_size': 291, 'cash_weight': 0.0}</t>
  </si>
  <si>
    <t>{'Regime 0': 0.13734662917383328, 'Regime 1': 0.8557042227230558, 'Regime 2': 0.006949148103110933}</t>
  </si>
  <si>
    <t>{'XLK': 0.2156633427065417, 'XLU': 0.020601994376074993}</t>
  </si>
  <si>
    <t>{'^SP500TR': 0.3637346629173833, 'LT09TRUU': 0.4, 'XLK': 0.2156633427065417, 'XLU': 0.020601994376074993}</t>
  </si>
  <si>
    <t>{'selected_satellites_str': 'XLK, XLU', 'candidate_id': 1001, 'base_satellite_weights': {'XLK': 0.25, 'XLU': 0.15}, 'conviction_scalar': {'XLK': 0.8626533708261668, 'XLU': 0.13734662917383328}, 'realized_date': Timestamp('2023-05-31 00:00:00'), 'applied_weights_after_turnover_limit': {'^SP500TR': 0.3637346629173833, 'LT09TRUU': 0.4, 'XLB': 0.0, 'XLE': 0.0, 'XLF': 0.0, 'XLI': 0.0, 'XLK': 0.2156633427065417, 'XLY': 0.0, 'XLP': 0.0, 'XLU': 0.020601994376074993, 'XLV': 0.0, 'XAU': 0.0}, 'turnover': 0.3234564817176689, 'transaction_cost': 0.00016172824085883446, 'gross_simple_return': 0.013002574485924612, 'net_simple_return': 0.012840846245065778, 'window_size': 292, 'cash_weight': 0.0}</t>
  </si>
  <si>
    <t>{'Regime 0': 0.13085158170880104, 'Regime 1': 0.8637137472976931, 'Regime 2': 0.005434670993505904}</t>
  </si>
  <si>
    <t>{'XLK': 0.26074452548735966, 'XLU': 0.013085158170880105}</t>
  </si>
  <si>
    <t>{'^SP500TR': 0.3261703163417602, 'LT09TRUU': 0.4, 'XLK': 0.26074452548735966, 'XLU': 0.013085158170880105}</t>
  </si>
  <si>
    <t>{'selected_satellites_str': 'XLK, XLU', 'candidate_id': 1003, 'base_satellite_weights': {'XLK': 0.3, 'XLU': 0.1}, 'conviction_scalar': {'XLK': 0.8691484182911989, 'XLU': 0.13085158170880104}, 'realized_date': Timestamp('2023-06-30 00:00:00'), 'applied_weights_after_turnover_limit': {'^SP500TR': 0.3261703163417602, 'LT09TRUU': 0.4, 'XLB': 0.0, 'XLE': 0.0, 'XLF': 0.0, 'XLI': 0.0, 'XLK': 0.26074452548735966, 'XLY': 0.0, 'XLP': 0.0, 'XLU': 0.013085158170880105, 'XLV': 0.0, 'XAU': 0.0}, 'turnover': 0.09016236556163598, 'transaction_cost': 4.508118278081799e-05, 'gross_simple_return': 0.03184197884859004, 'net_simple_return': 0.03179689766580922, 'window_size': 293, 'cash_weight': 0.0}</t>
  </si>
  <si>
    <t>{'Regime 0': 0.05713579858527367, 'Regime 1': 0.06045050345940833, 'Regime 2': 0.8824136979553179}</t>
  </si>
  <si>
    <t>{'XLK': 0.3771456805658906}</t>
  </si>
  <si>
    <t>{'^SP500TR': 0.22285431943410938, 'LT09TRUU': 0.4, 'XLK': 0.3771456805658906}</t>
  </si>
  <si>
    <t>{'selected_satellites_str': 'XLK', 'candidate_id': 40, 'base_satellite_weights': {'XLK': 0.4}, 'conviction_scalar': {'XLK': 0.9428642014147264}, 'realized_date': Timestamp('2023-07-31 00:00:00'), 'applied_weights_after_turnover_limit': {'^SP500TR': 0.22285431943410938, 'LT09TRUU': 0.4, 'XLB': 0.0, 'XLE': 0.0, 'XLF': 0.0, 'XLI': 0.0, 'XLK': 0.3771456805658906, 'XLY': 0.0, 'XLP': 0.0, 'XLU': 0.0, 'XLV': 0.0, 'XAU': 0.0}, 'turnover': 0.23280231015706185, 'transaction_cost': 0.00011640115507853092, 'gross_simple_return': 0.014295508093954828, 'net_simple_return': 0.014179106938876298, 'window_size': 294, 'cash_weight': 0.0}</t>
  </si>
  <si>
    <t>{'Regime 0': 0.06963628738778657, 'Regime 1': 0.0621927147217301, 'Regime 2': 0.8681709978904834}</t>
  </si>
  <si>
    <t>{'XLK': 0.37214548504488537}</t>
  </si>
  <si>
    <t>{'^SP500TR': 0.2278545149551146, 'LT09TRUU': 0.4, 'XLK': 0.37214548504488537}</t>
  </si>
  <si>
    <t>{'selected_satellites_str': 'XLK', 'candidate_id': 40, 'base_satellite_weights': {'XLK': 0.4}, 'conviction_scalar': {'XLK': 0.9303637126122134}, 'realized_date': Timestamp('2023-08-31 00:00:00'), 'applied_weights_after_turnover_limit': {'^SP500TR': 0.2278545149551146, 'LT09TRUU': 0.4, 'XLB': 0.0, 'XLE': 0.0, 'XLF': 0.0, 'XLI': 0.0, 'XLK': 0.37214548504488537, 'XLY': 0.0, 'XLP': 0.0, 'XLU': 0.0, 'XLV': 0.0, 'XAU': 0.0}, 'turnover': 0.010000391042010448, 'transaction_cost': 5.000195521005224e-06, 'gross_simple_return': -0.012207544619459247, 'net_simple_return': -0.012212544814980252, 'window_size': 295, 'cash_weight': 0.0}</t>
  </si>
  <si>
    <t>{'Regime 0': 0.14502469749436933, 'Regime 1': 0.05472282193152243, 'Regime 2': 0.8002524805741081}</t>
  </si>
  <si>
    <t>{'XLE': 0.08549753025056307, 'XLK': 0.2564925907516892}</t>
  </si>
  <si>
    <t>{'^SP500TR': 0.25800987899774774, 'LT09TRUU': 0.4, 'XLE': 0.08549753025056307, 'XLK': 0.2564925907516892}</t>
  </si>
  <si>
    <t>{'selected_satellites_str': 'XLE, XLK', 'candidate_id': 401, 'base_satellite_weights': {'XLE': 0.1, 'XLK': 0.3}, 'conviction_scalar': {'XLE': 0.8549753025056307, 'XLK': 0.8549753025056307}, 'realized_date': Timestamp('2023-09-30 00:00:00'), 'applied_weights_after_turnover_limit': {'^SP500TR': 0.25800987899774774, 'LT09TRUU': 0.4, 'XLB': 0.0, 'XLE': 0.08549753025056307, 'XLF': 0.0, 'XLI': 0.0, 'XLK': 0.2564925907516892, 'XLY': 0.0, 'XLP': 0.0, 'XLU': 0.0, 'XLV': 0.0, 'XAU': 0.0}, 'turnover': 0.2313057885863924, 'transaction_cost': 0.0001156528942931962, 'gross_simple_return': -0.0395832900275406, 'net_simple_return': -0.0396989429218338, 'window_size': 296, 'cash_weight': 0.0}</t>
  </si>
  <si>
    <t>{'Regime 0': 0.07590682898734255, 'Regime 1': 0.05909653155724636, 'Regime 2': 0.8649966394554112}</t>
  </si>
  <si>
    <t>{'XLE': 0.046204658550632875, 'XLK': 0.32343260985443006}</t>
  </si>
  <si>
    <t>{'^SP500TR': 0.23036273159493703, 'LT09TRUU': 0.4, 'XLE': 0.046204658550632875, 'XLK': 0.32343260985443006}</t>
  </si>
  <si>
    <t>{'selected_satellites_str': 'XLE, XLK', 'candidate_id': 395, 'base_satellite_weights': {'XLE': 0.05, 'XLK': 0.35}, 'conviction_scalar': {'XLE': 0.9240931710126574, 'XLK': 0.9240931710126574}, 'realized_date': Timestamp('2023-10-31 00:00:00'), 'applied_weights_after_turnover_limit': {'^SP500TR': 0.23036273159493703, 'LT09TRUU': 0.4, 'XLB': 0.0, 'XLE': 0.046204658550632875, 'XLF': 0.0, 'XLI': 0.0, 'XLK': 0.32343260985443006, 'XLY': 0.0, 'XLP': 0.0, 'XLU': 0.0, 'XLV': 0.0, 'XAU': 0.0}, 'turnover': 0.1338800382054818, 'transaction_cost': 6.694001910274091e-05, 'gross_simple_return': -0.015112861345810956, 'net_simple_return': -0.015179801364913698, 'window_size': 297, 'cash_weight': 0.0}</t>
  </si>
  <si>
    <t>{'Regime 0': 0.3237395731278623, 'Regime 1': 0.4975793285992686, 'Regime 2': 0.17868109827286915}</t>
  </si>
  <si>
    <t>XLK, XAU</t>
  </si>
  <si>
    <t>{'XLK': 0.033813021343606885, 'XAU': 0.11330885059475179}</t>
  </si>
  <si>
    <t>{'^SP500TR': 0.4528781280616413, 'LT09TRUU': 0.4, 'XLK': 0.033813021343606885, 'XAU': 0.11330885059475179}</t>
  </si>
  <si>
    <t>{'selected_satellites_str': 'XLK, XAU', 'candidate_id': 1039, 'base_satellite_weights': {'XLK': 0.05, 'XAU': 0.35}, 'conviction_scalar': {'XLK': 0.6762604268721377, 'XAU': 0.3237395731278623}, 'realized_date': Timestamp('2023-11-30 00:00:00'), 'applied_weights_after_turnover_limit': {'^SP500TR': 0.4528781280616413, 'LT09TRUU': 0.4, 'XLB': 0.0, 'XLE': 0.0, 'XLF': 0.0, 'XLI': 0.0, 'XLK': 0.033813021343606885, 'XLY': 0.0, 'XLP': 0.0, 'XLU': 0.0, 'XLV': 0.0, 'XAU': 0.11330885059475179}, 'turnover': 0.6716484941229122, 'transaction_cost': 0.00033582424706145607, 'gross_simple_return': 0.06652094035443055, 'net_simple_return': 0.0661851161073691, 'window_size': 298, 'cash_weight': 0.0}</t>
  </si>
  <si>
    <t>{'Regime 0': 0.00014456149285821184, 'Regime 1': 0.21472243601670837, 'Regime 2': 0.7851330024904333}</t>
  </si>
  <si>
    <t>{'XLE': 0.04999277192535709, 'XLK': 0.3499494034774996}</t>
  </si>
  <si>
    <t>{'^SP500TR': 0.20005782459714327, 'LT09TRUU': 0.4, 'XLE': 0.04999277192535709, 'XLK': 0.3499494034774996}</t>
  </si>
  <si>
    <t>{'selected_satellites_str': 'XLE, XLK', 'candidate_id': 395, 'base_satellite_weights': {'XLE': 0.05, 'XLK': 0.35}, 'conviction_scalar': {'XLE': 0.9998554385071418, 'XLK': 0.9998554385071418}, 'realized_date': Timestamp('2023-12-31 00:00:00'), 'applied_weights_after_turnover_limit': {'^SP500TR': 0.20005782459714327, 'LT09TRUU': 0.4, 'XLB': 0.0, 'XLE': 0.04999277192535709, 'XLF': 0.0, 'XLI': 0.0, 'XLK': 0.3499494034774996, 'XLY': 0.0, 'XLP': 0.0, 'XLU': 0.0, 'XLV': 0.0, 'XAU': 0.0}, 'turnover': 0.7322583081184997, 'transaction_cost': 0.00036612915405924987, 'gross_simple_return': 0.03977782867913863, 'net_simple_return': 0.03941169952507938, 'window_size': 299, 'cash_weight': 0.0}</t>
  </si>
  <si>
    <t>{'Regime 0': 0.33650399075301735, 'Regime 1': 0.5963006654287055, 'Regime 2': 0.0671953438182771}</t>
  </si>
  <si>
    <t>{'XLK': 0.06634960092469826, 'XAU': 0.1009511972259052}</t>
  </si>
  <si>
    <t>{'^SP500TR': 0.43269920184939653, 'LT09TRUU': 0.4, 'XLK': 0.06634960092469826, 'XAU': 0.1009511972259052}</t>
  </si>
  <si>
    <t>{'selected_satellites_str': 'XLK, XAU', 'candidate_id': 1045, 'base_satellite_weights': {'XLK': 0.1, 'XAU': 0.3}, 'conviction_scalar': {'XLK': 0.6634960092469826, 'XAU': 0.33650399075301735}, 'realized_date': Timestamp('2024-01-31 00:00:00'), 'applied_weights_after_turnover_limit': {'^SP500TR': 0.43269920184939653, 'LT09TRUU': 0.4, 'XLB': 0.0, 'XLE': 0.0, 'XLF': 0.0, 'XLI': 0.0, 'XLK': 0.06634960092469826, 'XLY': 0.0, 'XLP': 0.0, 'XLU': 0.0, 'XLV': 0.0, 'XAU': 0.1009511972259052}, 'turnover': 0.6671851489563168, 'transaction_cost': 0.00033359257447815836, 'gross_simple_return': 0.007208102771251159, 'net_simple_return': 0.006874510196773001, 'window_size': 300, 'cash_weight': 0.0}</t>
  </si>
  <si>
    <t>{'Regime 0': 0.36345895634485853, 'Regime 1': 0.5064347023006316, 'Regime 2': 0.13010634135450988}</t>
  </si>
  <si>
    <t>{'XLK': 0.06365410436551415, 'XAU': 0.10903768690345755}</t>
  </si>
  <si>
    <t>{'^SP500TR': 0.42730820873102826, 'LT09TRUU': 0.4, 'XLK': 0.06365410436551415, 'XAU': 0.10903768690345755}</t>
  </si>
  <si>
    <t>{'selected_satellites_str': 'XLK, XAU', 'candidate_id': 1045, 'base_satellite_weights': {'XLK': 0.1, 'XAU': 0.3}, 'conviction_scalar': {'XLK': 0.6365410436551415, 'XAU': 0.36345895634485853}, 'realized_date': Timestamp('2024-02-29 00:00:00'), 'applied_weights_after_turnover_limit': {'^SP500TR': 0.42730820873102826, 'LT09TRUU': 0.4, 'XLB': 0.0, 'XLE': 0.0, 'XLF': 0.0, 'XLI': 0.0, 'XLK': 0.06365410436551415, 'XLY': 0.0, 'XLP': 0.0, 'XLU': 0.0, 'XLV': 0.0, 'XAU': 0.10903768690345755}, 'turnover': 0.016172979355104727, 'transaction_cost': 8.086489677552364e-06, 'gross_simple_return': 0.01721259531287045, 'net_simple_return': 0.017204508823192896, 'window_size': 301, 'cash_weight': 0.0}</t>
  </si>
  <si>
    <t>{'Regime 0': 0.7347953605922867, 'Regime 1': 0.08534073867802083, 'Regime 2': 0.1798639007296926}</t>
  </si>
  <si>
    <t>{'XLE': 0.039780695911156995, 'XLK': 0.06630115985192833}</t>
  </si>
  <si>
    <t>{'^SP500TR': 0.49391814423691466, 'LT09TRUU': 0.4, 'XLE': 0.039780695911156995, 'XLK': 0.06630115985192833}</t>
  </si>
  <si>
    <t>{'selected_satellites_str': 'XLE, XLK', 'candidate_id': 406, 'base_satellite_weights': {'XLE': 0.15, 'XLK': 0.25}, 'conviction_scalar': {'XLE': 0.2652046394077133, 'XLK': 0.2652046394077133}, 'realized_date': Timestamp('2024-03-31 00:00:00'), 'applied_weights_after_turnover_limit': {'^SP500TR': 0.49391814423691466, 'LT09TRUU': 0.4, 'XLB': 0.0, 'XLE': 0.039780695911156995, 'XLF': 0.0, 'XLI': 0.0, 'XLK': 0.06630115985192833, 'XLY': 0.0, 'XLP': 0.0, 'XLU': 0.0, 'XLV': 0.0, 'XAU': 0.0}, 'turnover': 0.2180753738069151, 'transaction_cost': 0.00010903768690345756, 'gross_simple_return': 0.023630987679970624, 'net_simple_return': 0.023521949993067167, 'window_size': 302, 'cash_weight': 0.0}</t>
  </si>
  <si>
    <t>{'Regime 0': 0.43721291941818075, 'Regime 1': 0.5416041694817063, 'Regime 2': 0.021182911100112917}</t>
  </si>
  <si>
    <t>{'XAU': 0.1748851677672723}</t>
  </si>
  <si>
    <t>{'^SP500TR': 0.42511483223272767, 'LT09TRUU': 0.4, 'XAU': 0.1748851677672723}</t>
  </si>
  <si>
    <t>{'selected_satellites_str': 'XAU', 'candidate_id': 80, 'base_satellite_weights': {'XAU': 0.4}, 'conviction_scalar': {'XAU': 0.43721291941818075}, 'realized_date': Timestamp('2024-04-30 00:00:00'), 'applied_weights_after_turnover_limit': {'^SP500TR': 0.42511483223272767, 'LT09TRUU': 0.4, 'XLB': 0.0, 'XLE': 0.0, 'XLF': 0.0, 'XLI': 0.0, 'XLK': 0.0, 'XLY': 0.0, 'XLP': 0.0, 'XLU': 0.0, 'XLV': 0.0, 'XAU': 0.1748851677672723}, 'turnover': 0.3497703355345446, 'transaction_cost': 0.0001748851677672723, 'gross_simple_return': -0.025844254196895736, 'net_simple_return': -0.02601913936466301, 'window_size': 303, 'cash_weight': 0.0}</t>
  </si>
  <si>
    <t>{'Regime 0': 6.123387627658348e-05, 'Regime 1': 0.06939965315338878, 'Regime 2': 0.9305391129703346}</t>
  </si>
  <si>
    <t>{'XLE': 0.1999877532247447, 'XLK': 0.1999877532247447}</t>
  </si>
  <si>
    <t>{'^SP500TR': 0.20002449355051055, 'LT09TRUU': 0.4, 'XLE': 0.1999877532247447, 'XLK': 0.1999877532247447}</t>
  </si>
  <si>
    <t>{'selected_satellites_str': 'XLE, XLK', 'candidate_id': 410, 'base_satellite_weights': {'XLE': 0.2, 'XLK': 0.2}, 'conviction_scalar': {'XLE': 0.9999387661237235, 'XLK': 0.9999387661237235}, 'realized_date': Timestamp('2024-05-31 00:00:00'), 'applied_weights_after_turnover_limit': {'^SP500TR': 0.20002449355051055, 'LT09TRUU': 0.4, 'XLB': 0.0, 'XLE': 0.1999877532247447, 'XLF': 0.0, 'XLI': 0.0, 'XLK': 0.1999877532247447, 'XLY': 0.0, 'XLP': 0.0, 'XLU': 0.0, 'XLV': 0.0, 'XAU': 0.0}, 'turnover': 0.7999510128989789, 'transaction_cost': 0.00039997550644948945, 'gross_simple_return': 0.030291495303689353, 'net_simple_return': 0.029891519797239863, 'window_size': 304, 'cash_weight': 0.0}</t>
  </si>
  <si>
    <t>{'Regime 0': 0.4480081838665666, 'Regime 1': 0.24199070687876156, 'Regime 2': 0.3100011092546718}</t>
  </si>
  <si>
    <t>{'XLE': 0.02759959080667167, 'XLK': 0.19319713564670168}</t>
  </si>
  <si>
    <t>{'^SP500TR': 0.37920327354662664, 'LT09TRUU': 0.4, 'XLE': 0.02759959080667167, 'XLK': 0.19319713564670168}</t>
  </si>
  <si>
    <t>{'selected_satellites_str': 'XLE, XLK', 'candidate_id': 395, 'base_satellite_weights': {'XLE': 0.05, 'XLK': 0.35}, 'conviction_scalar': {'XLE': 0.5519918161334334, 'XLK': 0.5519918161334334}, 'realized_date': Timestamp('2024-06-30 00:00:00'), 'applied_weights_after_turnover_limit': {'^SP500TR': 0.37920327354662664, 'LT09TRUU': 0.4, 'XLB': 0.0, 'XLE': 0.02759959080667167, 'XLF': 0.0, 'XLI': 0.0, 'XLK': 0.19319713564670168, 'XLY': 0.0, 'XLP': 0.0, 'XLU': 0.0, 'XLV': 0.0, 'XAU': 0.0}, 'turnover': 0.3583575599922322, 'transaction_cost': 0.0001791787799961161, 'gross_simple_return': 0.033118591110031376, 'net_simple_return': 0.03293941233003526, 'window_size': 305, 'cash_weight': 0.0}</t>
  </si>
  <si>
    <t>{'Regime 0': 0.06351719785004731, 'Regime 1': 0.5072121521360518, 'Regime 2': 0.429270650013901}</t>
  </si>
  <si>
    <t>{'XLE': 0.1404724203224929, 'XLK': 0.23412070053748818}</t>
  </si>
  <si>
    <t>{'^SP500TR': 0.2254068791400189, 'LT09TRUU': 0.4, 'XLE': 0.1404724203224929, 'XLK': 0.23412070053748818}</t>
  </si>
  <si>
    <t>{'selected_satellites_str': 'XLE, XLK', 'candidate_id': 406, 'base_satellite_weights': {'XLE': 0.15, 'XLK': 0.25}, 'conviction_scalar': {'XLE': 0.9364828021499527, 'XLK': 0.9364828021499527}, 'realized_date': Timestamp('2024-07-31 00:00:00'), 'applied_weights_after_turnover_limit': {'^SP500TR': 0.2254068791400189, 'LT09TRUU': 0.4, 'XLB': 0.0, 'XLE': 0.1404724203224929, 'XLF': 0.0, 'XLI': 0.0, 'XLK': 0.23412070053748818, 'XLY': 0.0, 'XLP': 0.0, 'XLU': 0.0, 'XLV': 0.0, 'XAU': 0.0}, 'turnover': 0.3075927888132155, 'transaction_cost': 0.00015379639440660776, 'gross_simple_return': 0.009506260793581247, 'net_simple_return': 0.009352464399174639, 'window_size': 306, 'cash_weight': 0.0}</t>
  </si>
  <si>
    <t>{'Regime 0': 0.06436069957976301, 'Regime 1': 0.3481351027463457, 'Regime 2': 0.5875041976738913}</t>
  </si>
  <si>
    <t>{'XLE': 0.14034589506303555, 'XLK': 0.23390982510505925}</t>
  </si>
  <si>
    <t>{'^SP500TR': 0.22574427983190515, 'LT09TRUU': 0.4, 'XLE': 0.14034589506303555, 'XLK': 0.23390982510505925}</t>
  </si>
  <si>
    <t>{'selected_satellites_str': 'XLE, XLK', 'candidate_id': 406, 'base_satellite_weights': {'XLE': 0.15, 'XLK': 0.25}, 'conviction_scalar': {'XLE': 0.935639300420237, 'XLK': 0.935639300420237}, 'realized_date': Timestamp('2024-08-31 00:00:00'), 'applied_weights_after_turnover_limit': {'^SP500TR': 0.22574427983190515, 'LT09TRUU': 0.4, 'XLB': 0.0, 'XLE': 0.14034589506303555, 'XLF': 0.0, 'XLI': 0.0, 'XLK': 0.23390982510505925, 'XLY': 0.0, 'XLP': 0.0, 'XLU': 0.0, 'XLV': 0.0, 'XAU': 0.0}, 'turnover': 0.0006748013837725442, 'transaction_cost': 3.374006918862721e-07, 'gross_simple_return': 0.009699742440560313, 'net_simple_return': 0.009699405039868427, 'window_size': 307, 'cash_weight': 0.0}</t>
  </si>
  <si>
    <t>{'Regime 0': 0.20211398909588713, 'Regime 1': 0.7479407027259127, 'Regime 2': 0.04994530817820008}</t>
  </si>
  <si>
    <t>{'XLK': 0.11968290163561691, 'XAU': 0.05052849727397178}</t>
  </si>
  <si>
    <t>{'^SP500TR': 0.4297886010904113, 'LT09TRUU': 0.4, 'XLK': 0.11968290163561691, 'XAU': 0.05052849727397178}</t>
  </si>
  <si>
    <t>{'selected_satellites_str': 'XLK, XAU', 'candidate_id': 1050, 'base_satellite_weights': {'XLK': 0.15, 'XAU': 0.25}, 'conviction_scalar': {'XLK': 0.7978860109041128, 'XAU': 0.20211398909588713}, 'realized_date': Timestamp('2024-09-30 00:00:00'), 'applied_weights_after_turnover_limit': {'^SP500TR': 0.4297886010904113, 'LT09TRUU': 0.4, 'XLB': 0.0, 'XLE': 0.0, 'XLF': 0.0, 'XLI': 0.0, 'XLK': 0.11968290163561691, 'XLY': 0.0, 'XLP': 0.0, 'XLU': 0.0, 'XLV': 0.0, 'XAU': 0.05052849727397178}, 'turnover': 0.5091456370649557, 'transaction_cost': 0.00025457281853247786, 'gross_simple_return': 0.020345942702685128, 'net_simple_return': 0.020091369884152648, 'window_size': 308, 'cash_weight': 0.0}</t>
  </si>
  <si>
    <t>{'Regime 0': 5.6245936862753424e-11, 'Regime 1': 0.9999999999437317, 'Regime 2': 2.2448339286147297e-14}</t>
  </si>
  <si>
    <t>{'XLE': 0.24999999998593853, 'XLK': 0.1499999999915631}</t>
  </si>
  <si>
    <t>{'^SP500TR': 0.20000000002249835, 'LT09TRUU': 0.4, 'XLE': 0.24999999998593853, 'XLK': 0.1499999999915631}</t>
  </si>
  <si>
    <t>{'selected_satellites_str': 'XLE, XLK', 'candidate_id': 413, 'base_satellite_weights': {'XLE': 0.25, 'XLK': 0.15}, 'conviction_scalar': {'XLE': 0.9999999999437541, 'XLK': 0.9999999999437541}, 'realized_date': Timestamp('2024-10-31 00:00:00'), 'applied_weights_after_turnover_limit': {'^SP500TR': 0.20000000002249835, 'LT09TRUU': 0.4, 'XLB': 0.0, 'XLE': 0.24999999998593853, 'XLF': 0.0, 'XLI': 0.0, 'XLK': 0.1499999999915631, 'XLY': 0.0, 'XLP': 0.0, 'XLU': 0.0, 'XLV': 0.0, 'XAU': 0.0}, 'turnover': 0.5606341966837695, 'transaction_cost': 0.00028031709834188475, 'gross_simple_return': -0.015390853647455623, 'net_simple_return': -0.01567117074579751, 'window_size': 309, 'cash_weight': 0.0}</t>
  </si>
  <si>
    <t>{'Regime 0': 0.2841196832815788, 'Regime 1': 0.5026177427922374, 'Regime 2': 0.21326257392618372}</t>
  </si>
  <si>
    <t>{'XLK': 0.07158803167184212, 'XAU': 0.08523590498447364}</t>
  </si>
  <si>
    <t>{'^SP500TR': 0.4431760633436842, 'LT09TRUU': 0.4, 'XLK': 0.07158803167184212, 'XAU': 0.08523590498447364}</t>
  </si>
  <si>
    <t>{'selected_satellites_str': 'XLK, XAU', 'candidate_id': 1045, 'base_satellite_weights': {'XLK': 0.1, 'XAU': 0.3}, 'conviction_scalar': {'XLK': 0.7158803167184211, 'XAU': 0.2841196832815788}, 'realized_date': Timestamp('2024-11-30 00:00:00'), 'applied_weights_after_turnover_limit': {'^SP500TR': 0.4431760633436842, 'LT09TRUU': 0.4, 'XLB': 0.0, 'XLE': 0.0, 'XLF': 0.0, 'XLI': 0.0, 'XLK': 0.07158803167184212, 'XLY': 0.0, 'XLP': 0.0, 'XLU': 0.0, 'XLV': 0.0, 'XAU': 0.08523590498447364}, 'turnover': 0.656823936611319, 'transaction_cost': 0.00032841196830565953, 'gross_simple_return': 0.030000875464311218, 'net_simple_return': 0.02967246349600556, 'window_size': 310, 'cash_weight': 0.0}</t>
  </si>
  <si>
    <t>{'Regime 0': 0.016406414555494197, 'Regime 1': 0.8461001469600749, 'Regime 2': 0.13749343848443094}</t>
  </si>
  <si>
    <t>{'XLE': 0.09835935854445059, 'XAU': 0.004921924366648259}</t>
  </si>
  <si>
    <t>{'^SP500TR': 0.49671871708890114, 'LT09TRUU': 0.4, 'XLE': 0.09835935854445059, 'XAU': 0.004921924366648259}</t>
  </si>
  <si>
    <t>{'selected_satellites_str': 'XLE, XAU', 'candidate_id': 541, 'base_satellite_weights': {'XLE': 0.1, 'XAU': 0.3}, 'conviction_scalar': {'XLE': 0.9835935854445058, 'XAU': 0.016406414555494197}, 'realized_date': Timestamp('2024-12-31 00:00:00'), 'applied_weights_after_turnover_limit': {'^SP500TR': 0.49671871708890114, 'LT09TRUU': 0.4, 'XLB': 0.0, 'XLE': 0.09835935854445059, 'XLF': 0.0, 'XLI': 0.0, 'XLK': 0.0, 'XLY': 0.0, 'XLP': 0.0, 'XLU': 0.0, 'XLV': 0.0, 'XAU': 0.004921924366648259}, 'turnover': 0.3038040245793351, 'transaction_cost': 0.00015190201228966756, 'gross_simple_return': -0.030493409130347433, 'net_simple_return': -0.0306453111426371, 'window_size': 311, 'cash_weight': 0.0}</t>
  </si>
  <si>
    <t>{'Regime 0': 6.5905502122373675e-24, 'Regime 1': 0.30082182575854327, 'Regime 2': 0.6991781742414567}</t>
  </si>
  <si>
    <t>{'XLE': 0.15, 'XLK': 0.25}</t>
  </si>
  <si>
    <t>{'^SP500TR': 0.19999999999999996, 'LT09TRUU': 0.4, 'XLE': 0.15, 'XLK': 0.25}</t>
  </si>
  <si>
    <t>{'selected_satellites_str': 'XLE, XLK', 'candidate_id': 406, 'base_satellite_weights': {'XLE': 0.15, 'XLK': 0.25}, 'conviction_scalar': {'XLE': 1.0, 'XLK': 1.0}, 'realized_date': Timestamp('2025-01-31 00:00:00'), 'applied_weights_after_turnover_limit': {'^SP500TR': 0.19999999999999996, 'LT09TRUU': 0.4, 'XLB': 0.0, 'XLE': 0.15, 'XLF': 0.0, 'XLI': 0.0, 'XLK': 0.25, 'XLY': 0.0, 'XLP': 0.0, 'XLU': 0.0, 'XLV': 0.0, 'XAU': 0.0}, 'turnover': 0.603281282911099, 'transaction_cost': 0.0003016406414555495, 'gross_simple_return': 0.009786981950441762, 'net_simple_return': 0.009485341308986213, 'window_size': 312, 'cash_weight': 0.0}</t>
  </si>
  <si>
    <t>{'Regime 0': 0.2239540467453599, 'Regime 1': 0.36344969465006627, 'Regime 2': 0.4125962586045739}</t>
  </si>
  <si>
    <t>{'selected_satellites_str': 'NONE', 'candidate_id': 0, 'base_satellite_weights': {}, 'conviction_scalar': None, 'realized_date': Timestamp('2025-02-28 00:00:00'), 'applied_weights_after_turnover_limit': {'^SP500TR': 0.6, 'LT09TRUU': 0.4, 'XLB': 0.0, 'XLE': 0.0, 'XLF': 0.0, 'XLI': 0.0, 'XLK': 0.0, 'XLY': 0.0, 'XLP': 0.0, 'XLU': 0.0, 'XLV': 0.0, 'XAU': 0.0}, 'turnover': 0.8, 'transaction_cost': 0.0004, 'gross_simple_return': 0.003214469624358336, 'net_simple_return': 0.002814469624358336, 'window_size': 313, 'cash_weight': 0.0}</t>
  </si>
  <si>
    <t>{'Regime 0': 0.12313708979080179, 'Regime 1': 0.2968487679260568, 'Regime 2': 0.5800141422831414}</t>
  </si>
  <si>
    <t>{'XLE': 0.13152943653137975, 'XLK': 0.21921572755229957}</t>
  </si>
  <si>
    <t>{'^SP500TR': 0.2492548359163207, 'LT09TRUU': 0.4, 'XLE': 0.13152943653137975, 'XLK': 0.21921572755229957}</t>
  </si>
  <si>
    <t>{'selected_satellites_str': 'XLE, XLK', 'candidate_id': 406, 'base_satellite_weights': {'XLE': 0.15, 'XLK': 0.25}, 'conviction_scalar': {'XLE': 0.8768629102091983, 'XLK': 0.8768629102091983}, 'realized_date': Timestamp('2025-03-31 00:00:00'), 'applied_weights_after_turnover_limit': {'^SP500TR': 0.2492548359163207, 'LT09TRUU': 0.4, 'XLB': 0.0, 'XLE': 0.13152943653137975, 'XLF': 0.0, 'XLI': 0.0, 'XLK': 0.21921572755229957, 'XLY': 0.0, 'XLP': 0.0, 'XLU': 0.0, 'XLV': 0.0, 'XAU': 0.0}, 'turnover': 0.7014903281673586, 'transaction_cost': 0.0003507451640836793, 'gross_simple_return': -0.027031579647435983, 'net_simple_return': -0.027382324811519664, 'window_size': 314, 'cash_weight': 0.0}</t>
  </si>
  <si>
    <t>{'Regime 0': 0.8697074696965599, 'Regime 1': 2.0974144886046516e-06, 'Regime 2': 0.13029043288895156}</t>
  </si>
  <si>
    <t>{'XLE': 0.013029253030344013, 'XAU': 0.260912240908968}</t>
  </si>
  <si>
    <t>{'^SP500TR': 0.326058506060688, 'LT09TRUU': 0.4, 'XLE': 0.013029253030344013, 'XAU': 0.260912240908968}</t>
  </si>
  <si>
    <t>{'selected_satellites_str': 'XLE, XAU', 'candidate_id': 541, 'base_satellite_weights': {'XLE': 0.1, 'XAU': 0.3}, 'conviction_scalar': {'XLE': 0.13029253030344012, 'XAU': 0.8697074696965599}, 'realized_date': Timestamp('2025-04-30 00:00:00'), 'applied_weights_after_turnover_limit': {'^SP500TR': 0.326058506060688, 'LT09TRUU': 0.4, 'XLB': 0.0, 'XLE': 0.013029253030344013, 'XLF': 0.0, 'XLI': 0.0, 'XLK': 0.0, 'XLY': 0.0, 'XLP': 0.0, 'XLU': 0.0, 'XLV': 0.0, 'XAU': 0.260912240908968}, 'turnover': 0.6754318221066706, 'transaction_cost': 0.0003377159110533353, 'gross_simple_return': 0.013439652557831782, 'net_simple_return': 0.013101936646778447, 'window_size': 315, 'cash_weight': 0.0}</t>
  </si>
  <si>
    <t>{'Regime 0': 0.0021870743781884487, 'Regime 1': 0.9971231923177685, 'Regime 2': 0.0006897333040431201}</t>
  </si>
  <si>
    <t>XLE, XLF</t>
  </si>
  <si>
    <t>{'XLE': 0.14967193884327173, 'XLF': 0.2494532314054529}</t>
  </si>
  <si>
    <t>{'^SP500TR': 0.20087482975127535, 'LT09TRUU': 0.4, 'XLE': 0.14967193884327173, 'XLF': 0.2494532314054529}</t>
  </si>
  <si>
    <t>{'selected_satellites_str': 'XLE, XLF', 'candidate_id': 350, 'base_satellite_weights': {'XLE': 0.15, 'XLF': 0.25}, 'conviction_scalar': {'XLE': 0.9978129256218116, 'XLF': 0.9978129256218116}, 'realized_date': Timestamp('2025-05-31 00:00:00'), 'applied_weights_after_turnover_limit': {'^SP500TR': 0.20087482975127535, 'LT09TRUU': 0.4, 'XLB': 0.0, 'XLE': 0.14967193884327173, 'XLF': 0.2494532314054529, 'XLI': 0.0, 'XLK': 0.0, 'XLY': 0.0, 'XLP': 0.0, 'XLU': 0.0, 'XLV': 0.0, 'XAU': 0.0}, 'turnover': 0.7721918344367611, 'transaction_cost': 0.00038609591721838055, 'gross_simple_return': 0.02064047021543275, 'net_simple_return': 0.02025437429821437, 'window_size': 316, 'cash_weight': 0.0}</t>
  </si>
  <si>
    <t>{'Regime 0': 0.0056332359643486325, 'Regime 1': 0.9781057615435531, 'Regime 2': 0.01626100249209827}</t>
  </si>
  <si>
    <t>{'XLE': 0.04971833820178257, 'XAU': 0.001971632587522021}</t>
  </si>
  <si>
    <t>{'^SP500TR': 0.5483100292106954, 'LT09TRUU': 0.4, 'XLE': 0.04971833820178257, 'XAU': 0.001971632587522021}</t>
  </si>
  <si>
    <t>{'selected_satellites_str': 'XLE, XAU', 'candidate_id': 535, 'base_satellite_weights': {'XLE': 0.05, 'XAU': 0.35}, 'conviction_scalar': {'XLE': 0.9943667640356514, 'XAU': 0.0056332359643486325}, 'realized_date': Timestamp('2025-06-30 00:00:00'), 'applied_weights_after_turnover_limit': {'^SP500TR': 0.5483100292106954, 'LT09TRUU': 0.4, 'XLB': 0.0, 'XLE': 0.04971833820178257, 'XLF': 0.0, 'XLI': 0.0, 'XLK': 0.0, 'XLY': 0.0, 'XLP': 0.0, 'XLU': 0.0, 'XLV': 0.0, 'XAU': 0.001971632587522021}, 'turnover': 0.6988136640938841, 'transaction_cost': 0.00034940683204694206, 'gross_simple_return': 0.03647047236774807, 'net_simple_return': 0.03612106553570113, 'window_size': 317, 'cash_weight': 0.0}</t>
  </si>
  <si>
    <t>{'Regime 0': 0.28312552413839776, 'Regime 1': 0.7072348616403168, 'Regime 2': 0.009639614221285469}</t>
  </si>
  <si>
    <t>{'XAU': 0.1132502096553591}</t>
  </si>
  <si>
    <t>{'^SP500TR': 0.4867497903446409, 'LT09TRUU': 0.4, 'XAU': 0.1132502096553591}</t>
  </si>
  <si>
    <t>{'selected_satellites_str': 'XAU', 'candidate_id': 80, 'base_satellite_weights': {'XAU': 0.4}, 'conviction_scalar': {'XAU': 0.28312552413839776}, 'realized_date': Timestamp('2025-07-31 00:00:00'), 'applied_weights_after_turnover_limit': {'^SP500TR': 0.4867497903446409, 'LT09TRUU': 0.4, 'XLB': 0.0, 'XLE': 0.0, 'XLF': 0.0, 'XLI': 0.0, 'XLK': 0.0, 'XLY': 0.0, 'XLP': 0.0, 'XLU': 0.0, 'XLV': 0.0, 'XAU': 0.1132502096553591}, 'turnover': 0.22255715413567415, 'transaction_cost': 0.00011127857706783708, 'gross_simple_return': 0.008025731097360222, 'net_simple_return': 0.007914452520292384, 'window_size': 318, 'cash_weight': 0.0}</t>
  </si>
  <si>
    <t>{'Regime 0': 0.061305087698328146, 'Regime 1': 0.9381144922181094, 'Regime 2': 0.0005804200835625215}</t>
  </si>
  <si>
    <t>XLF, XLK</t>
  </si>
  <si>
    <t>{'XLF': 0.046934745615083595, 'XLK': 0.32854321930558517}</t>
  </si>
  <si>
    <t>{'^SP500TR': 0.22452203507933122, 'LT09TRUU': 0.4, 'XLF': 0.046934745615083595, 'XLK': 0.32854321930558517}</t>
  </si>
  <si>
    <t>{'selected_satellites_str': 'XLF, XLK', 'candidate_id': 591, 'base_satellite_weights': {'XLF': 0.05, 'XLK': 0.35}, 'conviction_scalar': {'XLF': 0.9386949123016719, 'XLK': 0.9386949123016719}, 'realized_date': Timestamp('2025-08-31 00:00:00'), 'applied_weights_after_turnover_limit': {'^SP500TR': 0.22452203507933122, 'LT09TRUU': 0.4, 'XLB': 0.0, 'XLE': 0.0, 'XLF': 0.046934745615083595, 'XLI': 0.0, 'XLK': 0.32854321930558517, 'XLY': 0.0, 'XLP': 0.0, 'XLU': 0.0, 'XLV': 0.0, 'XAU': 0.0}, 'turnover': 0.7509559298413375, 'transaction_cost': 0.0003754779649206688, 'gross_simple_return': 0.012285204471266607, 'net_simple_return': 0.011909726506345938, 'window_size': 319, 'cash_weight': 0.0}</t>
  </si>
  <si>
    <t>{'Regime 0': 0.0699991674730554, 'Regime 1': 0.9226960051446772, 'Regime 2': 0.007304827382267507}</t>
  </si>
  <si>
    <t>{'XLF': 0.04650004162634724, 'XLK': 0.3255002913844306}</t>
  </si>
  <si>
    <t>{'^SP500TR': 0.22799966698922214, 'LT09TRUU': 0.4, 'XLF': 0.04650004162634724, 'XLK': 0.3255002913844306}</t>
  </si>
  <si>
    <t>{'selected_satellites_str': 'XLF, XLK', 'candidate_id': 591, 'base_satellite_weights': {'XLF': 0.05, 'XLK': 0.35}, 'conviction_scalar': {'XLF': 0.9300008325269447, 'XLK': 0.9300008325269447}, 'realized_date': Timestamp('2025-09-30 00:00:00'), 'applied_weights_after_turnover_limit': {'^SP500TR': 0.22799966698922214, 'LT09TRUU': 0.4, 'XLB': 0.0, 'XLE': 0.0, 'XLF': 0.04650004162634724, 'XLI': 0.0, 'XLK': 0.3255002913844306, 'XLY': 0.0, 'XLP': 0.0, 'XLU': 0.0, 'XLV': 0.0, 'XAU': 0.0}, 'turnover': 0.00695526381978185, 'transaction_cost': 3.477631909890925e-06, 'gross_simple_return': 0.035156553553517406, 'net_simple_return': 0.03515307592160751, 'window_size': 320, 'cash_weight': 0.0}</t>
  </si>
  <si>
    <t>{'Regime 0': 0.2917389204230338, 'Regime 1': 0.6156307468999186, 'Regime 2': 0.09263033267704764}</t>
  </si>
  <si>
    <t>{'XLE': 0.07082610795769662, 'XAU': 0.08752167612691013}</t>
  </si>
  <si>
    <t>{'^SP500TR': 0.4416522159153932, 'LT09TRUU': 0.4, 'XLE': 0.07082610795769662, 'XAU': 0.08752167612691013}</t>
  </si>
  <si>
    <t>{'selected_satellites_str': 'XLE, XAU', 'candidate_id': 541, 'base_satellite_weights': {'XLE': 0.1, 'XAU': 0.3}, 'conviction_scalar': {'XLE': 0.7082610795769662, 'XAU': 0.2917389204230338}, 'realized_date': Timestamp('2025-10-31 00:00:00'), 'applied_weights_after_turnover_limit': {'^SP500TR': 0.4416522159153932, 'LT09TRUU': 0.4, 'XLB': 0.0, 'XLE': 0.07082610795769662, 'XLF': 0.0, 'XLI': 0.0, 'XLK': 0.0, 'XLY': 0.0, 'XLP': 0.0, 'XLU': 0.0, 'XLV': 0.0, 'XAU': 0.08752167612691013}, 'turnover': 0.7440006660215556, 'transaction_cost': 0.0003720003330107778, 'gross_simple_return': 0.015318562529557267, 'net_simple_return': 0.01494656219654649, 'window_size': 321, 'cash_weight': 0.0}</t>
  </si>
  <si>
    <t>{'Regime 0': 0.08124845268342636, 'Regime 1': 0.2563985047013702, 'Regime 2': 0.6623530426152034}</t>
  </si>
  <si>
    <t>{'XLE': 0.2756254641949721, 'XLK': 0.09187515473165736}</t>
  </si>
  <si>
    <t>{'^SP500TR': 0.23249938107337054, 'LT09TRUU': 0.4, 'XLE': 0.2756254641949721, 'XLK': 0.09187515473165736}</t>
  </si>
  <si>
    <t>{'selected_satellites_str': 'XLE, XLK', 'candidate_id': 415, 'base_satellite_weights': {'XLE': 0.3, 'XLK': 0.1}, 'conviction_scalar': {'XLE': 0.9187515473165736, 'XLK': 0.9187515473165736}, 'realized_date': Timestamp('2025-11-30 00:00:00'), 'applied_weights_after_turnover_limit': {'^SP500TR': 0.23249938107337054, 'LT09TRUU': 0.4, 'XLB': 0.0, 'XLE': 0.2756254641949721, 'XLF': 0.0, 'XLI': 0.0, 'XLK': 0.09187515473165736, 'XLY': 0.0, 'XLP': 0.0, 'XLU': 0.0, 'XLV': 0.0, 'XAU': 0.0}, 'turnover': 0.5933490219378655, 'transaction_cost': 0.0002966745109689328, 'gross_simple_return': 0.007274359668667134, 'net_simple_return': 0.006977685157698201, 'window_size': 322, 'cash_weight': 0.0}</t>
  </si>
  <si>
    <t>{'Regime 0': 0.8737631486037137, 'Regime 1': 1.2776176382682429e-05, 'Regime 2': 0.1262240752199036}</t>
  </si>
  <si>
    <t>{'XLE': 0.006311842569814314, 'XAU': 0.3058171020112998}</t>
  </si>
  <si>
    <t>{'^SP500TR': 0.28787105541888586, 'LT09TRUU': 0.4, 'XLE': 0.006311842569814314, 'XAU': 0.3058171020112998}</t>
  </si>
  <si>
    <t>{'selected_satellites_str': 'XLE, XAU', 'candidate_id': 535, 'base_satellite_weights': {'XLE': 0.05, 'XAU': 0.35}, 'conviction_scalar': {'XLE': 0.12623685139628626, 'XAU': 0.8737631486037137}, 'realized_date': Timestamp('2025-12-31 00:00:00'), 'applied_weights_after_turnover_limit': {'^SP500TR': 0.28787105541888586, 'LT09TRUU': 0.4, 'XLB': 0.0, 'XLE': 0.006311842569814314, 'XLF': 0.0, 'XLI': 0.0, 'XLK': 0.0, 'XLY': 0.0, 'XLP': 0.0, 'XLU': 0.0, 'XLV': 0.0, 'XAU': 0.3058171020112998}, 'turnover': 0.7223775527136302, 'transaction_cost': 0.0003611887763568151, 'gross_simple_return': 0.0035451031188149813, 'net_simple_return': 0.0031839143424581664, 'window_size': 323, 'cash_weight': 0.0}</t>
  </si>
  <si>
    <t>{'Regime 0': 0.20081144515404104, 'Regime 1': 0.7271559444335828, 'Regime 2': 0.07203261041237626}</t>
  </si>
  <si>
    <t>{'XAU': 0.08032457806161641}</t>
  </si>
  <si>
    <t>{'^SP500TR': 0.5196754219383836, 'LT09TRUU': 0.4, 'XAU': 0.08032457806161641}</t>
  </si>
  <si>
    <t>{'selected_satellites_str': 'XAU', 'candidate_id': 80, 'base_satellite_weights': {'XAU': 0.4}, 'conviction_scalar': {'XAU': 0.20081144515404104}, 'realized_date': Timestamp('2026-01-31 00:00:00'), 'applied_weights_after_turnover_limit': {'^SP500TR': 0.5196754219383836, 'LT09TRUU': 0.4, 'XLB': 0.0, 'XLE': 0.0, 'XLF': 0.0, 'XLI': 0.0, 'XLK': 0.0, 'XLY': 0.0, 'XLP': 0.0, 'XLU': 0.0, 'XLV': 0.0, 'XAU': 0.08032457806161641}, 'turnover': 0.4636087330389954, 'transaction_cost': 0.0002318043665194977, 'gross_simple_return': 0.01601069771175896, 'net_simple_return': 0.015778893345239464, 'window_size': 324, 'cash_weight': 0.0}</t>
  </si>
  <si>
    <t>LT09TRUU</t>
  </si>
  <si>
    <t>strategy_return</t>
  </si>
  <si>
    <t>strategy_wealth</t>
  </si>
  <si>
    <t>strategy_drawdown</t>
  </si>
  <si>
    <t>benchmark_return</t>
  </si>
  <si>
    <t>benchmark_wealth</t>
  </si>
  <si>
    <t>benchmark_drawdown</t>
  </si>
  <si>
    <t>Regime 0</t>
  </si>
  <si>
    <t>Regime 1</t>
  </si>
  <si>
    <t>Regime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</si>
</sst>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2"/>
  <sheetViews>
    <sheetView tabSelected="1" topLeftCell="A4" workbookViewId="0">
      <selection activeCell="D61" sqref="D61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 t="s">
        <v>4</v>
      </c>
      <c r="C2" t="s">
        <v>5</v>
      </c>
    </row>
    <row r="3" spans="1:3" x14ac:dyDescent="0.35">
      <c r="A3" t="s">
        <v>3</v>
      </c>
      <c r="B3" t="s">
        <v>6</v>
      </c>
      <c r="C3" t="s">
        <v>7</v>
      </c>
    </row>
    <row r="4" spans="1:3" x14ac:dyDescent="0.35">
      <c r="A4" t="s">
        <v>8</v>
      </c>
      <c r="B4" t="s">
        <v>9</v>
      </c>
      <c r="C4" t="s">
        <v>10</v>
      </c>
    </row>
    <row r="5" spans="1:3" x14ac:dyDescent="0.35">
      <c r="A5" t="s">
        <v>8</v>
      </c>
      <c r="B5" t="s">
        <v>11</v>
      </c>
      <c r="C5" t="s">
        <v>12</v>
      </c>
    </row>
    <row r="6" spans="1:3" x14ac:dyDescent="0.35">
      <c r="A6" t="s">
        <v>8</v>
      </c>
      <c r="B6" t="s">
        <v>13</v>
      </c>
      <c r="C6" t="s">
        <v>14</v>
      </c>
    </row>
    <row r="7" spans="1:3" x14ac:dyDescent="0.35">
      <c r="A7" t="s">
        <v>8</v>
      </c>
      <c r="B7" t="s">
        <v>15</v>
      </c>
      <c r="C7" t="s">
        <v>16</v>
      </c>
    </row>
    <row r="8" spans="1:3" x14ac:dyDescent="0.35">
      <c r="A8" t="s">
        <v>8</v>
      </c>
      <c r="B8" t="s">
        <v>17</v>
      </c>
      <c r="C8" t="s">
        <v>18</v>
      </c>
    </row>
    <row r="9" spans="1:3" x14ac:dyDescent="0.35">
      <c r="A9" t="s">
        <v>8</v>
      </c>
      <c r="B9" t="s">
        <v>19</v>
      </c>
      <c r="C9" t="s">
        <v>18</v>
      </c>
    </row>
    <row r="10" spans="1:3" x14ac:dyDescent="0.35">
      <c r="A10" t="s">
        <v>8</v>
      </c>
      <c r="B10" t="s">
        <v>20</v>
      </c>
      <c r="C10" t="s">
        <v>21</v>
      </c>
    </row>
    <row r="11" spans="1:3" x14ac:dyDescent="0.35">
      <c r="A11" t="s">
        <v>8</v>
      </c>
      <c r="B11" t="s">
        <v>22</v>
      </c>
      <c r="C11" t="s">
        <v>23</v>
      </c>
    </row>
    <row r="12" spans="1:3" x14ac:dyDescent="0.35">
      <c r="A12" t="s">
        <v>8</v>
      </c>
      <c r="B12" t="s">
        <v>24</v>
      </c>
      <c r="C12" t="s">
        <v>25</v>
      </c>
    </row>
    <row r="13" spans="1:3" x14ac:dyDescent="0.35">
      <c r="A13" t="s">
        <v>8</v>
      </c>
      <c r="B13" t="s">
        <v>26</v>
      </c>
      <c r="C13" t="s">
        <v>27</v>
      </c>
    </row>
    <row r="14" spans="1:3" x14ac:dyDescent="0.35">
      <c r="A14" t="s">
        <v>8</v>
      </c>
      <c r="B14" t="s">
        <v>28</v>
      </c>
      <c r="C14" t="s">
        <v>29</v>
      </c>
    </row>
    <row r="15" spans="1:3" x14ac:dyDescent="0.35">
      <c r="A15" t="s">
        <v>8</v>
      </c>
      <c r="B15" t="s">
        <v>30</v>
      </c>
      <c r="C15" t="s">
        <v>31</v>
      </c>
    </row>
    <row r="16" spans="1:3" x14ac:dyDescent="0.35">
      <c r="A16" t="s">
        <v>8</v>
      </c>
      <c r="B16" t="s">
        <v>32</v>
      </c>
      <c r="C16" t="s">
        <v>18</v>
      </c>
    </row>
    <row r="17" spans="1:3" x14ac:dyDescent="0.35">
      <c r="A17" t="s">
        <v>8</v>
      </c>
      <c r="B17" t="s">
        <v>33</v>
      </c>
      <c r="C17" t="s">
        <v>34</v>
      </c>
    </row>
    <row r="18" spans="1:3" x14ac:dyDescent="0.35">
      <c r="A18" t="s">
        <v>35</v>
      </c>
      <c r="B18" t="s">
        <v>36</v>
      </c>
      <c r="C18" t="s">
        <v>37</v>
      </c>
    </row>
    <row r="19" spans="1:3" x14ac:dyDescent="0.35">
      <c r="A19" t="s">
        <v>35</v>
      </c>
      <c r="B19" t="s">
        <v>38</v>
      </c>
      <c r="C19" t="s">
        <v>39</v>
      </c>
    </row>
    <row r="20" spans="1:3" x14ac:dyDescent="0.35">
      <c r="A20" t="s">
        <v>35</v>
      </c>
      <c r="B20" t="s">
        <v>40</v>
      </c>
      <c r="C20" t="s">
        <v>41</v>
      </c>
    </row>
    <row r="21" spans="1:3" x14ac:dyDescent="0.35">
      <c r="A21" t="s">
        <v>35</v>
      </c>
      <c r="B21" t="s">
        <v>42</v>
      </c>
      <c r="C21" t="s">
        <v>29</v>
      </c>
    </row>
    <row r="22" spans="1:3" x14ac:dyDescent="0.35">
      <c r="A22" t="s">
        <v>35</v>
      </c>
      <c r="B22" t="s">
        <v>43</v>
      </c>
      <c r="C22" t="s">
        <v>29</v>
      </c>
    </row>
    <row r="23" spans="1:3" x14ac:dyDescent="0.35">
      <c r="A23" t="s">
        <v>44</v>
      </c>
      <c r="B23" t="s">
        <v>45</v>
      </c>
      <c r="C23" t="s">
        <v>46</v>
      </c>
    </row>
    <row r="24" spans="1:3" x14ac:dyDescent="0.35">
      <c r="A24" t="s">
        <v>44</v>
      </c>
      <c r="B24" t="s">
        <v>47</v>
      </c>
      <c r="C24" t="s">
        <v>48</v>
      </c>
    </row>
    <row r="25" spans="1:3" x14ac:dyDescent="0.35">
      <c r="A25" t="s">
        <v>44</v>
      </c>
      <c r="B25" t="s">
        <v>49</v>
      </c>
      <c r="C25" t="s">
        <v>50</v>
      </c>
    </row>
    <row r="26" spans="1:3" x14ac:dyDescent="0.35">
      <c r="A26" t="s">
        <v>44</v>
      </c>
      <c r="B26" t="s">
        <v>51</v>
      </c>
      <c r="C26" t="s">
        <v>52</v>
      </c>
    </row>
    <row r="27" spans="1:3" x14ac:dyDescent="0.35">
      <c r="A27" t="s">
        <v>44</v>
      </c>
      <c r="B27" t="s">
        <v>53</v>
      </c>
      <c r="C27" t="s">
        <v>54</v>
      </c>
    </row>
    <row r="28" spans="1:3" x14ac:dyDescent="0.35">
      <c r="A28" t="s">
        <v>55</v>
      </c>
      <c r="B28" t="s">
        <v>45</v>
      </c>
      <c r="C28" t="s">
        <v>56</v>
      </c>
    </row>
    <row r="29" spans="1:3" x14ac:dyDescent="0.35">
      <c r="A29" t="s">
        <v>55</v>
      </c>
      <c r="B29" t="s">
        <v>47</v>
      </c>
      <c r="C29" t="s">
        <v>57</v>
      </c>
    </row>
    <row r="30" spans="1:3" x14ac:dyDescent="0.35">
      <c r="A30" t="s">
        <v>55</v>
      </c>
      <c r="B30" t="s">
        <v>49</v>
      </c>
      <c r="C30" t="s">
        <v>50</v>
      </c>
    </row>
    <row r="31" spans="1:3" x14ac:dyDescent="0.35">
      <c r="A31" t="s">
        <v>55</v>
      </c>
      <c r="B31" t="s">
        <v>51</v>
      </c>
      <c r="C31" t="s">
        <v>52</v>
      </c>
    </row>
    <row r="32" spans="1:3" x14ac:dyDescent="0.35">
      <c r="A32" t="s">
        <v>55</v>
      </c>
      <c r="B32" t="s">
        <v>53</v>
      </c>
      <c r="C32" t="s">
        <v>54</v>
      </c>
    </row>
    <row r="33" spans="1:3" x14ac:dyDescent="0.35">
      <c r="A33" t="s">
        <v>58</v>
      </c>
      <c r="B33" t="s">
        <v>45</v>
      </c>
      <c r="C33" t="s">
        <v>59</v>
      </c>
    </row>
    <row r="34" spans="1:3" x14ac:dyDescent="0.35">
      <c r="A34" t="s">
        <v>58</v>
      </c>
      <c r="B34" t="s">
        <v>47</v>
      </c>
      <c r="C34" t="s">
        <v>60</v>
      </c>
    </row>
    <row r="35" spans="1:3" x14ac:dyDescent="0.35">
      <c r="A35" t="s">
        <v>58</v>
      </c>
      <c r="B35" t="s">
        <v>49</v>
      </c>
      <c r="C35" t="s">
        <v>50</v>
      </c>
    </row>
    <row r="36" spans="1:3" x14ac:dyDescent="0.35">
      <c r="A36" t="s">
        <v>58</v>
      </c>
      <c r="B36" t="s">
        <v>51</v>
      </c>
      <c r="C36" t="s">
        <v>52</v>
      </c>
    </row>
    <row r="37" spans="1:3" x14ac:dyDescent="0.35">
      <c r="A37" t="s">
        <v>58</v>
      </c>
      <c r="B37" t="s">
        <v>53</v>
      </c>
      <c r="C37" t="s">
        <v>54</v>
      </c>
    </row>
    <row r="38" spans="1:3" x14ac:dyDescent="0.35">
      <c r="A38" t="s">
        <v>61</v>
      </c>
      <c r="B38" t="s">
        <v>45</v>
      </c>
      <c r="C38" t="s">
        <v>62</v>
      </c>
    </row>
    <row r="39" spans="1:3" x14ac:dyDescent="0.35">
      <c r="A39" t="s">
        <v>61</v>
      </c>
      <c r="B39" t="s">
        <v>47</v>
      </c>
      <c r="C39" t="s">
        <v>63</v>
      </c>
    </row>
    <row r="40" spans="1:3" x14ac:dyDescent="0.35">
      <c r="A40" t="s">
        <v>61</v>
      </c>
      <c r="B40" t="s">
        <v>49</v>
      </c>
      <c r="C40" t="s">
        <v>50</v>
      </c>
    </row>
    <row r="41" spans="1:3" x14ac:dyDescent="0.35">
      <c r="A41" t="s">
        <v>61</v>
      </c>
      <c r="B41" t="s">
        <v>51</v>
      </c>
      <c r="C41" t="s">
        <v>52</v>
      </c>
    </row>
    <row r="42" spans="1:3" x14ac:dyDescent="0.35">
      <c r="A42" t="s">
        <v>61</v>
      </c>
      <c r="B42" t="s">
        <v>53</v>
      </c>
      <c r="C42" t="s">
        <v>54</v>
      </c>
    </row>
    <row r="43" spans="1:3" x14ac:dyDescent="0.35">
      <c r="A43" t="s">
        <v>64</v>
      </c>
      <c r="B43" t="s">
        <v>45</v>
      </c>
      <c r="C43" t="s">
        <v>65</v>
      </c>
    </row>
    <row r="44" spans="1:3" x14ac:dyDescent="0.35">
      <c r="A44" t="s">
        <v>64</v>
      </c>
      <c r="B44" t="s">
        <v>47</v>
      </c>
      <c r="C44" t="s">
        <v>66</v>
      </c>
    </row>
    <row r="45" spans="1:3" x14ac:dyDescent="0.35">
      <c r="A45" t="s">
        <v>64</v>
      </c>
      <c r="B45" t="s">
        <v>49</v>
      </c>
      <c r="C45" t="s">
        <v>50</v>
      </c>
    </row>
    <row r="46" spans="1:3" x14ac:dyDescent="0.35">
      <c r="A46" t="s">
        <v>64</v>
      </c>
      <c r="B46" t="s">
        <v>51</v>
      </c>
      <c r="C46" t="s">
        <v>52</v>
      </c>
    </row>
    <row r="47" spans="1:3" x14ac:dyDescent="0.35">
      <c r="A47" t="s">
        <v>64</v>
      </c>
      <c r="B47" t="s">
        <v>53</v>
      </c>
      <c r="C47" t="s">
        <v>54</v>
      </c>
    </row>
    <row r="48" spans="1:3" x14ac:dyDescent="0.35">
      <c r="A48" t="s">
        <v>67</v>
      </c>
      <c r="B48" t="s">
        <v>45</v>
      </c>
      <c r="C48" t="s">
        <v>68</v>
      </c>
    </row>
    <row r="49" spans="1:3" x14ac:dyDescent="0.35">
      <c r="A49" t="s">
        <v>67</v>
      </c>
      <c r="B49" t="s">
        <v>47</v>
      </c>
      <c r="C49" t="s">
        <v>69</v>
      </c>
    </row>
    <row r="50" spans="1:3" x14ac:dyDescent="0.35">
      <c r="A50" t="s">
        <v>67</v>
      </c>
      <c r="B50" t="s">
        <v>49</v>
      </c>
      <c r="C50" t="s">
        <v>50</v>
      </c>
    </row>
    <row r="51" spans="1:3" x14ac:dyDescent="0.35">
      <c r="A51" t="s">
        <v>67</v>
      </c>
      <c r="B51" t="s">
        <v>51</v>
      </c>
      <c r="C51" t="s">
        <v>52</v>
      </c>
    </row>
    <row r="52" spans="1:3" x14ac:dyDescent="0.35">
      <c r="A52" t="s">
        <v>67</v>
      </c>
      <c r="B52" t="s">
        <v>53</v>
      </c>
      <c r="C52" t="s">
        <v>54</v>
      </c>
    </row>
    <row r="53" spans="1:3" x14ac:dyDescent="0.35">
      <c r="A53" t="s">
        <v>70</v>
      </c>
      <c r="B53" t="s">
        <v>45</v>
      </c>
      <c r="C53" t="s">
        <v>71</v>
      </c>
    </row>
    <row r="54" spans="1:3" x14ac:dyDescent="0.35">
      <c r="A54" t="s">
        <v>70</v>
      </c>
      <c r="B54" t="s">
        <v>47</v>
      </c>
      <c r="C54" t="s">
        <v>72</v>
      </c>
    </row>
    <row r="55" spans="1:3" x14ac:dyDescent="0.35">
      <c r="A55" t="s">
        <v>70</v>
      </c>
      <c r="B55" t="s">
        <v>49</v>
      </c>
      <c r="C55" t="s">
        <v>50</v>
      </c>
    </row>
    <row r="56" spans="1:3" x14ac:dyDescent="0.35">
      <c r="A56" t="s">
        <v>70</v>
      </c>
      <c r="B56" t="s">
        <v>51</v>
      </c>
      <c r="C56" t="s">
        <v>52</v>
      </c>
    </row>
    <row r="57" spans="1:3" x14ac:dyDescent="0.35">
      <c r="A57" t="s">
        <v>70</v>
      </c>
      <c r="B57" t="s">
        <v>53</v>
      </c>
      <c r="C57" t="s">
        <v>73</v>
      </c>
    </row>
    <row r="58" spans="1:3" x14ac:dyDescent="0.35">
      <c r="A58" t="s">
        <v>74</v>
      </c>
      <c r="B58" t="s">
        <v>45</v>
      </c>
      <c r="C58" t="s">
        <v>75</v>
      </c>
    </row>
    <row r="59" spans="1:3" x14ac:dyDescent="0.35">
      <c r="A59" t="s">
        <v>74</v>
      </c>
      <c r="B59" t="s">
        <v>47</v>
      </c>
      <c r="C59" t="s">
        <v>76</v>
      </c>
    </row>
    <row r="60" spans="1:3" x14ac:dyDescent="0.35">
      <c r="A60" t="s">
        <v>74</v>
      </c>
      <c r="B60" t="s">
        <v>49</v>
      </c>
      <c r="C60" t="s">
        <v>50</v>
      </c>
    </row>
    <row r="61" spans="1:3" x14ac:dyDescent="0.35">
      <c r="A61" t="s">
        <v>74</v>
      </c>
      <c r="B61" t="s">
        <v>51</v>
      </c>
      <c r="C61" t="s">
        <v>52</v>
      </c>
    </row>
    <row r="62" spans="1:3" x14ac:dyDescent="0.35">
      <c r="A62" t="s">
        <v>74</v>
      </c>
      <c r="B62" t="s">
        <v>53</v>
      </c>
      <c r="C62" t="s">
        <v>73</v>
      </c>
    </row>
    <row r="63" spans="1:3" x14ac:dyDescent="0.35">
      <c r="A63" t="s">
        <v>77</v>
      </c>
      <c r="B63" t="s">
        <v>45</v>
      </c>
      <c r="C63" t="s">
        <v>78</v>
      </c>
    </row>
    <row r="64" spans="1:3" x14ac:dyDescent="0.35">
      <c r="A64" t="s">
        <v>77</v>
      </c>
      <c r="B64" t="s">
        <v>47</v>
      </c>
      <c r="C64" t="s">
        <v>79</v>
      </c>
    </row>
    <row r="65" spans="1:3" x14ac:dyDescent="0.35">
      <c r="A65" t="s">
        <v>77</v>
      </c>
      <c r="B65" t="s">
        <v>49</v>
      </c>
      <c r="C65" t="s">
        <v>50</v>
      </c>
    </row>
    <row r="66" spans="1:3" x14ac:dyDescent="0.35">
      <c r="A66" t="s">
        <v>77</v>
      </c>
      <c r="B66" t="s">
        <v>51</v>
      </c>
      <c r="C66" t="s">
        <v>52</v>
      </c>
    </row>
    <row r="67" spans="1:3" x14ac:dyDescent="0.35">
      <c r="A67" t="s">
        <v>77</v>
      </c>
      <c r="B67" t="s">
        <v>53</v>
      </c>
      <c r="C67" t="s">
        <v>73</v>
      </c>
    </row>
    <row r="68" spans="1:3" x14ac:dyDescent="0.35">
      <c r="A68" t="s">
        <v>80</v>
      </c>
      <c r="B68" t="s">
        <v>45</v>
      </c>
      <c r="C68" t="s">
        <v>81</v>
      </c>
    </row>
    <row r="69" spans="1:3" x14ac:dyDescent="0.35">
      <c r="A69" t="s">
        <v>80</v>
      </c>
      <c r="B69" t="s">
        <v>47</v>
      </c>
      <c r="C69" t="s">
        <v>82</v>
      </c>
    </row>
    <row r="70" spans="1:3" x14ac:dyDescent="0.35">
      <c r="A70" t="s">
        <v>80</v>
      </c>
      <c r="B70" t="s">
        <v>49</v>
      </c>
      <c r="C70" t="s">
        <v>50</v>
      </c>
    </row>
    <row r="71" spans="1:3" x14ac:dyDescent="0.35">
      <c r="A71" t="s">
        <v>80</v>
      </c>
      <c r="B71" t="s">
        <v>51</v>
      </c>
      <c r="C71" t="s">
        <v>83</v>
      </c>
    </row>
    <row r="72" spans="1:3" x14ac:dyDescent="0.35">
      <c r="A72" t="s">
        <v>80</v>
      </c>
      <c r="B72" t="s">
        <v>53</v>
      </c>
      <c r="C72" t="s">
        <v>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workbookViewId="0">
      <selection activeCell="D2" sqref="D2"/>
    </sheetView>
  </sheetViews>
  <sheetFormatPr defaultRowHeight="14.5" x14ac:dyDescent="0.35"/>
  <sheetData>
    <row r="1" spans="1:8" x14ac:dyDescent="0.35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89</v>
      </c>
      <c r="G1" t="s">
        <v>90</v>
      </c>
      <c r="H1" t="s">
        <v>91</v>
      </c>
    </row>
    <row r="2" spans="1:8" x14ac:dyDescent="0.35">
      <c r="A2" t="s">
        <v>92</v>
      </c>
      <c r="B2">
        <v>264</v>
      </c>
      <c r="C2">
        <v>8.5688886731021929E-2</v>
      </c>
      <c r="D2">
        <v>9.3277218712481666E-2</v>
      </c>
      <c r="E2">
        <v>0.93139423101617602</v>
      </c>
      <c r="F2">
        <v>-0.2653776102391654</v>
      </c>
      <c r="G2">
        <v>7.5754818204987806E-2</v>
      </c>
      <c r="H2">
        <v>0.26944545014255172</v>
      </c>
    </row>
    <row r="3" spans="1:8" x14ac:dyDescent="0.35">
      <c r="A3" t="s">
        <v>93</v>
      </c>
      <c r="B3">
        <v>264</v>
      </c>
      <c r="C3">
        <v>7.7070773177927876E-2</v>
      </c>
      <c r="D3">
        <v>8.9767820804587756E-2</v>
      </c>
      <c r="E3">
        <v>0.87466856811077498</v>
      </c>
      <c r="F3">
        <v>-0.30609796727642569</v>
      </c>
      <c r="G3">
        <v>7.1132623239915455E-2</v>
      </c>
      <c r="H3">
        <v>0.26944545014255172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65"/>
  <sheetViews>
    <sheetView workbookViewId="0"/>
  </sheetViews>
  <sheetFormatPr defaultRowHeight="14.5" x14ac:dyDescent="0.35"/>
  <sheetData>
    <row r="1" spans="1:20" x14ac:dyDescent="0.35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  <c r="K1" t="s">
        <v>104</v>
      </c>
      <c r="L1" t="s">
        <v>105</v>
      </c>
      <c r="M1" t="s">
        <v>106</v>
      </c>
      <c r="N1" t="s">
        <v>107</v>
      </c>
      <c r="O1" t="s">
        <v>108</v>
      </c>
      <c r="P1" t="s">
        <v>109</v>
      </c>
      <c r="Q1" t="s">
        <v>110</v>
      </c>
      <c r="R1" t="s">
        <v>111</v>
      </c>
      <c r="S1" t="s">
        <v>112</v>
      </c>
      <c r="T1" t="s">
        <v>113</v>
      </c>
    </row>
    <row r="2" spans="1:20" x14ac:dyDescent="0.35">
      <c r="A2" s="1">
        <v>38017</v>
      </c>
      <c r="B2" t="s">
        <v>37</v>
      </c>
      <c r="C2" t="s">
        <v>114</v>
      </c>
      <c r="D2">
        <v>-8.9042602308782694E-4</v>
      </c>
      <c r="E2" t="s">
        <v>115</v>
      </c>
      <c r="F2" t="s">
        <v>116</v>
      </c>
      <c r="G2" t="s">
        <v>117</v>
      </c>
      <c r="H2">
        <v>2.948072761592385E-3</v>
      </c>
      <c r="I2">
        <v>4.8229942528075468E-4</v>
      </c>
      <c r="J2">
        <v>0.53399557539138121</v>
      </c>
      <c r="K2">
        <v>2.874202358676158</v>
      </c>
      <c r="L2">
        <v>1.501174485750121E-3</v>
      </c>
      <c r="M2">
        <v>2.3916005088379481E-3</v>
      </c>
      <c r="N2" t="s">
        <v>118</v>
      </c>
      <c r="O2" s="1">
        <v>38046</v>
      </c>
      <c r="P2">
        <v>0.47499885942072279</v>
      </c>
      <c r="Q2">
        <v>2.3749942971036141E-4</v>
      </c>
      <c r="R2">
        <v>2.248057684515295E-2</v>
      </c>
      <c r="S2">
        <v>2.224307741544259E-2</v>
      </c>
      <c r="T2">
        <v>61</v>
      </c>
    </row>
    <row r="3" spans="1:20" x14ac:dyDescent="0.35">
      <c r="A3" s="1">
        <v>38046</v>
      </c>
      <c r="B3" t="s">
        <v>37</v>
      </c>
      <c r="C3" t="s">
        <v>119</v>
      </c>
      <c r="D3">
        <v>-1.8990540100932969E-3</v>
      </c>
      <c r="E3" t="s">
        <v>115</v>
      </c>
      <c r="F3" t="s">
        <v>120</v>
      </c>
      <c r="G3" t="s">
        <v>121</v>
      </c>
      <c r="H3">
        <v>2.0704062693609332E-3</v>
      </c>
      <c r="I3">
        <v>3.5990563557493843E-4</v>
      </c>
      <c r="J3">
        <v>0.37443798659950622</v>
      </c>
      <c r="K3">
        <v>3.02896908863503</v>
      </c>
      <c r="L3">
        <v>9.9068936263611764E-4</v>
      </c>
      <c r="M3">
        <v>2.8897433727294152E-3</v>
      </c>
      <c r="N3" t="s">
        <v>122</v>
      </c>
      <c r="O3" s="1">
        <v>38077</v>
      </c>
      <c r="P3">
        <v>0.1749283353674026</v>
      </c>
      <c r="Q3">
        <v>8.7464167683701317E-5</v>
      </c>
      <c r="R3">
        <v>9.9550031157996099E-5</v>
      </c>
      <c r="S3">
        <v>1.208586347429478E-5</v>
      </c>
      <c r="T3">
        <v>62</v>
      </c>
    </row>
    <row r="4" spans="1:20" x14ac:dyDescent="0.35">
      <c r="A4" s="1">
        <v>38077</v>
      </c>
      <c r="B4" t="s">
        <v>37</v>
      </c>
      <c r="C4" t="s">
        <v>123</v>
      </c>
      <c r="D4">
        <v>-2.6818654018603652E-3</v>
      </c>
      <c r="E4" t="s">
        <v>124</v>
      </c>
      <c r="F4" t="s">
        <v>125</v>
      </c>
      <c r="G4" t="s">
        <v>126</v>
      </c>
      <c r="H4">
        <v>2.4093277162986369E-3</v>
      </c>
      <c r="I4">
        <v>3.4480990470780792E-4</v>
      </c>
      <c r="J4">
        <v>0.2428734886602264</v>
      </c>
      <c r="K4">
        <v>2.920728691519098</v>
      </c>
      <c r="L4">
        <v>1.374898002175213E-3</v>
      </c>
      <c r="M4">
        <v>4.0567634040355781E-3</v>
      </c>
      <c r="N4" t="s">
        <v>127</v>
      </c>
      <c r="O4" s="1">
        <v>38107</v>
      </c>
      <c r="P4">
        <v>0.2625688131844045</v>
      </c>
      <c r="Q4">
        <v>1.3128440659220219E-4</v>
      </c>
      <c r="R4">
        <v>-3.5611529183558407E-2</v>
      </c>
      <c r="S4">
        <v>-3.5742813590150607E-2</v>
      </c>
      <c r="T4">
        <v>63</v>
      </c>
    </row>
    <row r="5" spans="1:20" x14ac:dyDescent="0.35">
      <c r="A5" s="1">
        <v>38107</v>
      </c>
      <c r="B5" t="s">
        <v>37</v>
      </c>
      <c r="C5" t="s">
        <v>128</v>
      </c>
      <c r="D5">
        <v>-6.1403847874394214E-3</v>
      </c>
      <c r="E5" t="s">
        <v>81</v>
      </c>
      <c r="F5" t="s">
        <v>129</v>
      </c>
      <c r="G5" t="s">
        <v>130</v>
      </c>
      <c r="H5">
        <v>2.2983235329278521E-4</v>
      </c>
      <c r="I5">
        <v>4.2427948756434649E-4</v>
      </c>
      <c r="J5">
        <v>0.4431296237333584</v>
      </c>
      <c r="K5">
        <v>3.8526811889169892</v>
      </c>
      <c r="L5">
        <v>-1.043006109400254E-3</v>
      </c>
      <c r="M5">
        <v>5.097378678039167E-3</v>
      </c>
      <c r="N5" t="s">
        <v>131</v>
      </c>
      <c r="O5" s="1">
        <v>38138</v>
      </c>
      <c r="P5">
        <v>0.14271579060498921</v>
      </c>
      <c r="Q5">
        <v>7.1357895302494591E-5</v>
      </c>
      <c r="R5">
        <v>6.3001498459909992E-3</v>
      </c>
      <c r="S5">
        <v>6.2287919506885036E-3</v>
      </c>
      <c r="T5">
        <v>64</v>
      </c>
    </row>
    <row r="6" spans="1:20" x14ac:dyDescent="0.35">
      <c r="A6" s="1">
        <v>38138</v>
      </c>
      <c r="B6" t="s">
        <v>37</v>
      </c>
      <c r="C6" t="s">
        <v>132</v>
      </c>
      <c r="D6">
        <v>-5.5103459937610993E-3</v>
      </c>
      <c r="E6" t="s">
        <v>81</v>
      </c>
      <c r="F6" t="s">
        <v>133</v>
      </c>
      <c r="G6" t="s">
        <v>134</v>
      </c>
      <c r="H6">
        <v>2.0386691143668848E-3</v>
      </c>
      <c r="I6">
        <v>4.4476041613635101E-4</v>
      </c>
      <c r="J6">
        <v>9.8228768194992572E-2</v>
      </c>
      <c r="K6">
        <v>3.7805068292839219</v>
      </c>
      <c r="L6">
        <v>7.0438786595783181E-4</v>
      </c>
      <c r="M6">
        <v>6.2147338597189324E-3</v>
      </c>
      <c r="N6" t="s">
        <v>135</v>
      </c>
      <c r="O6" s="1">
        <v>38168</v>
      </c>
      <c r="P6">
        <v>0.26182160164922008</v>
      </c>
      <c r="Q6">
        <v>1.3091080082461011E-4</v>
      </c>
      <c r="R6">
        <v>9.6930048279492056E-3</v>
      </c>
      <c r="S6">
        <v>9.5620940271245961E-3</v>
      </c>
      <c r="T6">
        <v>65</v>
      </c>
    </row>
    <row r="7" spans="1:20" x14ac:dyDescent="0.35">
      <c r="A7" s="1">
        <v>38168</v>
      </c>
      <c r="B7" t="s">
        <v>37</v>
      </c>
      <c r="C7" t="s">
        <v>136</v>
      </c>
      <c r="D7">
        <v>-5.6471362140760716E-3</v>
      </c>
      <c r="E7" t="s">
        <v>81</v>
      </c>
      <c r="F7" t="s">
        <v>137</v>
      </c>
      <c r="G7" t="s">
        <v>138</v>
      </c>
      <c r="H7">
        <v>2.9520768957206002E-3</v>
      </c>
      <c r="I7">
        <v>4.1031509826321518E-4</v>
      </c>
      <c r="J7">
        <v>0.21370592670188629</v>
      </c>
      <c r="K7">
        <v>3.6610705971803879</v>
      </c>
      <c r="L7">
        <v>1.721131600930955E-3</v>
      </c>
      <c r="M7">
        <v>7.3682678150070267E-3</v>
      </c>
      <c r="N7" t="s">
        <v>139</v>
      </c>
      <c r="O7" s="1">
        <v>38199</v>
      </c>
      <c r="P7">
        <v>6.5571084627073839E-2</v>
      </c>
      <c r="Q7">
        <v>3.2785542313536917E-5</v>
      </c>
      <c r="R7">
        <v>-9.1448001895062057E-3</v>
      </c>
      <c r="S7">
        <v>-9.1775857318197422E-3</v>
      </c>
      <c r="T7">
        <v>66</v>
      </c>
    </row>
    <row r="8" spans="1:20" x14ac:dyDescent="0.35">
      <c r="A8" s="1">
        <v>38199</v>
      </c>
      <c r="B8" t="s">
        <v>37</v>
      </c>
      <c r="C8" t="s">
        <v>140</v>
      </c>
      <c r="D8">
        <v>-5.7399989514511206E-3</v>
      </c>
      <c r="E8" t="s">
        <v>81</v>
      </c>
      <c r="F8" t="s">
        <v>141</v>
      </c>
      <c r="G8" t="s">
        <v>142</v>
      </c>
      <c r="H8">
        <v>9.2698795190351759E-4</v>
      </c>
      <c r="I8">
        <v>3.8120927237957471E-4</v>
      </c>
      <c r="J8">
        <v>-8.0167021769950789E-3</v>
      </c>
      <c r="K8">
        <v>4.2524510702687701</v>
      </c>
      <c r="L8">
        <v>-2.1663986523520661E-4</v>
      </c>
      <c r="M8">
        <v>5.523359086215914E-3</v>
      </c>
      <c r="N8" t="s">
        <v>143</v>
      </c>
      <c r="O8" s="1">
        <v>38230</v>
      </c>
      <c r="P8">
        <v>0.29453607115724839</v>
      </c>
      <c r="Q8">
        <v>1.4726803557862421E-4</v>
      </c>
      <c r="R8">
        <v>2.9778235202766019E-2</v>
      </c>
      <c r="S8">
        <v>2.963096716718739E-2</v>
      </c>
      <c r="T8">
        <v>67</v>
      </c>
    </row>
    <row r="9" spans="1:20" x14ac:dyDescent="0.35">
      <c r="A9" s="1">
        <v>38230</v>
      </c>
      <c r="B9" t="s">
        <v>37</v>
      </c>
      <c r="C9" t="s">
        <v>144</v>
      </c>
      <c r="D9">
        <v>-5.0427833464814454E-3</v>
      </c>
      <c r="E9" t="s">
        <v>81</v>
      </c>
      <c r="F9" t="s">
        <v>145</v>
      </c>
      <c r="G9" t="s">
        <v>146</v>
      </c>
      <c r="H9">
        <v>1.4759461430192439E-3</v>
      </c>
      <c r="I9">
        <v>3.836352221105602E-4</v>
      </c>
      <c r="J9">
        <v>-3.8439714736640762E-2</v>
      </c>
      <c r="K9">
        <v>4.1467193234366011</v>
      </c>
      <c r="L9">
        <v>3.2504047668756368E-4</v>
      </c>
      <c r="M9">
        <v>5.3678238231690094E-3</v>
      </c>
      <c r="N9" t="s">
        <v>147</v>
      </c>
      <c r="O9" s="1">
        <v>38260</v>
      </c>
      <c r="P9">
        <v>1.0457673211724311E-2</v>
      </c>
      <c r="Q9">
        <v>5.2288366058621528E-6</v>
      </c>
      <c r="R9">
        <v>1.1521795324908751E-2</v>
      </c>
      <c r="S9">
        <v>1.151656648830289E-2</v>
      </c>
      <c r="T9">
        <v>68</v>
      </c>
    </row>
    <row r="10" spans="1:20" x14ac:dyDescent="0.35">
      <c r="A10" s="1">
        <v>38260</v>
      </c>
      <c r="B10" t="s">
        <v>37</v>
      </c>
      <c r="C10" t="s">
        <v>148</v>
      </c>
      <c r="D10">
        <v>-4.757551476386436E-3</v>
      </c>
      <c r="E10" t="s">
        <v>115</v>
      </c>
      <c r="F10" t="s">
        <v>149</v>
      </c>
      <c r="G10" t="s">
        <v>150</v>
      </c>
      <c r="H10">
        <v>1.0187224161273369E-3</v>
      </c>
      <c r="I10">
        <v>2.9243211537626168E-4</v>
      </c>
      <c r="J10">
        <v>-0.34351420827679963</v>
      </c>
      <c r="K10">
        <v>3.107276629840781</v>
      </c>
      <c r="L10">
        <v>1.4142606999855149E-4</v>
      </c>
      <c r="M10">
        <v>4.8989775463849873E-3</v>
      </c>
      <c r="N10" t="s">
        <v>151</v>
      </c>
      <c r="O10" s="1">
        <v>38291</v>
      </c>
      <c r="P10">
        <v>0.18881743048863689</v>
      </c>
      <c r="Q10">
        <v>9.4408715244318438E-5</v>
      </c>
      <c r="R10">
        <v>1.569255775590344E-2</v>
      </c>
      <c r="S10">
        <v>1.5598149040659129E-2</v>
      </c>
      <c r="T10">
        <v>69</v>
      </c>
    </row>
    <row r="11" spans="1:20" x14ac:dyDescent="0.35">
      <c r="A11" s="1">
        <v>38291</v>
      </c>
      <c r="B11" t="s">
        <v>37</v>
      </c>
      <c r="C11" t="s">
        <v>152</v>
      </c>
      <c r="D11">
        <v>-5.5321398654060586E-3</v>
      </c>
      <c r="E11" t="s">
        <v>115</v>
      </c>
      <c r="F11" t="s">
        <v>153</v>
      </c>
      <c r="G11" t="s">
        <v>154</v>
      </c>
      <c r="H11">
        <v>9.3790129652684311E-4</v>
      </c>
      <c r="I11">
        <v>3.0801118193034862E-4</v>
      </c>
      <c r="J11">
        <v>-0.43921928681931011</v>
      </c>
      <c r="K11">
        <v>3.491025504092089</v>
      </c>
      <c r="L11">
        <v>1.386775073579719E-5</v>
      </c>
      <c r="M11">
        <v>5.5460076161418558E-3</v>
      </c>
      <c r="N11" t="s">
        <v>155</v>
      </c>
      <c r="O11" s="1">
        <v>38321</v>
      </c>
      <c r="P11">
        <v>8.504860142750359E-2</v>
      </c>
      <c r="Q11">
        <v>4.2524300713751793E-5</v>
      </c>
      <c r="R11">
        <v>2.0112597535270661E-2</v>
      </c>
      <c r="S11">
        <v>2.0070073234556909E-2</v>
      </c>
      <c r="T11">
        <v>70</v>
      </c>
    </row>
    <row r="12" spans="1:20" x14ac:dyDescent="0.35">
      <c r="A12" s="1">
        <v>38321</v>
      </c>
      <c r="B12" t="s">
        <v>37</v>
      </c>
      <c r="C12" t="s">
        <v>156</v>
      </c>
      <c r="D12">
        <v>-5.7929723557975116E-3</v>
      </c>
      <c r="E12" t="s">
        <v>81</v>
      </c>
      <c r="F12" t="s">
        <v>157</v>
      </c>
      <c r="G12" t="s">
        <v>158</v>
      </c>
      <c r="H12">
        <v>2.8346710895194899E-3</v>
      </c>
      <c r="I12">
        <v>3.9014296307217719E-4</v>
      </c>
      <c r="J12">
        <v>-0.1728985548905296</v>
      </c>
      <c r="K12">
        <v>3.707931565469043</v>
      </c>
      <c r="L12">
        <v>1.6642422003029581E-3</v>
      </c>
      <c r="M12">
        <v>7.4572145561004697E-3</v>
      </c>
      <c r="N12" t="s">
        <v>159</v>
      </c>
      <c r="O12" s="1">
        <v>38352</v>
      </c>
      <c r="P12">
        <v>0.23465107905517971</v>
      </c>
      <c r="Q12">
        <v>1.1732553952758981E-4</v>
      </c>
      <c r="R12">
        <v>1.2159944972307071E-2</v>
      </c>
      <c r="S12">
        <v>1.204261943277948E-2</v>
      </c>
      <c r="T12">
        <v>71</v>
      </c>
    </row>
    <row r="13" spans="1:20" x14ac:dyDescent="0.35">
      <c r="A13" s="1">
        <v>38352</v>
      </c>
      <c r="B13" t="s">
        <v>37</v>
      </c>
      <c r="C13" t="s">
        <v>160</v>
      </c>
      <c r="D13">
        <v>-7.0053476111573681E-3</v>
      </c>
      <c r="E13" t="s">
        <v>115</v>
      </c>
      <c r="F13" t="s">
        <v>161</v>
      </c>
      <c r="G13" t="s">
        <v>162</v>
      </c>
      <c r="H13">
        <v>9.1862232750309996E-4</v>
      </c>
      <c r="I13">
        <v>3.2641410795803002E-4</v>
      </c>
      <c r="J13">
        <v>-0.43878260610345321</v>
      </c>
      <c r="K13">
        <v>3.3303675889676412</v>
      </c>
      <c r="L13">
        <v>-6.0619996370990092E-5</v>
      </c>
      <c r="M13">
        <v>6.9447276147863784E-3</v>
      </c>
      <c r="N13" t="s">
        <v>163</v>
      </c>
      <c r="O13" s="1">
        <v>38383</v>
      </c>
      <c r="P13">
        <v>0.23728764604092309</v>
      </c>
      <c r="Q13">
        <v>1.186438230204615E-4</v>
      </c>
      <c r="R13">
        <v>-1.565600276011726E-2</v>
      </c>
      <c r="S13">
        <v>-1.5774646583137718E-2</v>
      </c>
      <c r="T13">
        <v>72</v>
      </c>
    </row>
    <row r="14" spans="1:20" x14ac:dyDescent="0.35">
      <c r="A14" s="1">
        <v>38383</v>
      </c>
      <c r="B14" t="s">
        <v>37</v>
      </c>
      <c r="C14" t="s">
        <v>164</v>
      </c>
      <c r="D14">
        <v>-3.6869242993150769E-3</v>
      </c>
      <c r="E14" t="s">
        <v>81</v>
      </c>
      <c r="F14" t="s">
        <v>165</v>
      </c>
      <c r="G14" t="s">
        <v>166</v>
      </c>
      <c r="H14">
        <v>2.9714531722145302E-3</v>
      </c>
      <c r="I14">
        <v>3.899601807913551E-4</v>
      </c>
      <c r="J14">
        <v>-0.30461887780049129</v>
      </c>
      <c r="K14">
        <v>3.8981523827979032</v>
      </c>
      <c r="L14">
        <v>1.8015726298404649E-3</v>
      </c>
      <c r="M14">
        <v>5.4884969291555423E-3</v>
      </c>
      <c r="N14" t="s">
        <v>167</v>
      </c>
      <c r="O14" s="1">
        <v>38411</v>
      </c>
      <c r="P14">
        <v>0.29640382679877442</v>
      </c>
      <c r="Q14">
        <v>1.482019133993872E-4</v>
      </c>
      <c r="R14">
        <v>9.2364757112475045E-3</v>
      </c>
      <c r="S14">
        <v>9.0882737978481166E-3</v>
      </c>
      <c r="T14">
        <v>73</v>
      </c>
    </row>
    <row r="15" spans="1:20" x14ac:dyDescent="0.35">
      <c r="A15" s="1">
        <v>38411</v>
      </c>
      <c r="B15" t="s">
        <v>37</v>
      </c>
      <c r="C15" t="s">
        <v>168</v>
      </c>
      <c r="D15">
        <v>-4.3133825043875154E-3</v>
      </c>
      <c r="E15" t="s">
        <v>115</v>
      </c>
      <c r="F15" t="s">
        <v>169</v>
      </c>
      <c r="G15" t="s">
        <v>170</v>
      </c>
      <c r="H15">
        <v>4.3831052798042171E-3</v>
      </c>
      <c r="I15">
        <v>6.0392785299645763E-4</v>
      </c>
      <c r="J15">
        <v>0.13674876637465661</v>
      </c>
      <c r="K15">
        <v>3.2433082054591198</v>
      </c>
      <c r="L15">
        <v>2.5713217208148441E-3</v>
      </c>
      <c r="M15">
        <v>6.8847042252023604E-3</v>
      </c>
      <c r="N15" t="s">
        <v>171</v>
      </c>
      <c r="O15" s="1">
        <v>38442</v>
      </c>
      <c r="P15">
        <v>0.46906254097071548</v>
      </c>
      <c r="Q15">
        <v>2.3453127048535781E-4</v>
      </c>
      <c r="R15">
        <v>-1.312991416840578E-2</v>
      </c>
      <c r="S15">
        <v>-1.3364445438891129E-2</v>
      </c>
      <c r="T15">
        <v>74</v>
      </c>
    </row>
    <row r="16" spans="1:20" x14ac:dyDescent="0.35">
      <c r="A16" s="1">
        <v>38442</v>
      </c>
      <c r="B16" t="s">
        <v>37</v>
      </c>
      <c r="C16" t="s">
        <v>172</v>
      </c>
      <c r="D16">
        <v>-6.2203306608431567E-3</v>
      </c>
      <c r="E16" t="s">
        <v>115</v>
      </c>
      <c r="F16" t="s">
        <v>173</v>
      </c>
      <c r="G16" t="s">
        <v>174</v>
      </c>
      <c r="H16">
        <v>1.161144672828745E-3</v>
      </c>
      <c r="I16">
        <v>3.2672737058646019E-4</v>
      </c>
      <c r="J16">
        <v>-0.14660799412767511</v>
      </c>
      <c r="K16">
        <v>2.6707214834540709</v>
      </c>
      <c r="L16">
        <v>1.809625610693644E-4</v>
      </c>
      <c r="M16">
        <v>6.4012932219125211E-3</v>
      </c>
      <c r="N16" t="s">
        <v>175</v>
      </c>
      <c r="O16" s="1">
        <v>38472</v>
      </c>
      <c r="P16">
        <v>0.4362867702489921</v>
      </c>
      <c r="Q16">
        <v>2.1814338512449611E-4</v>
      </c>
      <c r="R16">
        <v>5.0408189489119584E-3</v>
      </c>
      <c r="S16">
        <v>4.8226755637874623E-3</v>
      </c>
      <c r="T16">
        <v>75</v>
      </c>
    </row>
    <row r="17" spans="1:20" x14ac:dyDescent="0.35">
      <c r="A17" s="1">
        <v>38472</v>
      </c>
      <c r="B17" t="s">
        <v>37</v>
      </c>
      <c r="C17" t="s">
        <v>176</v>
      </c>
      <c r="D17">
        <v>-5.1825279869100911E-3</v>
      </c>
      <c r="E17" t="s">
        <v>115</v>
      </c>
      <c r="F17" t="s">
        <v>177</v>
      </c>
      <c r="G17" t="s">
        <v>178</v>
      </c>
      <c r="H17">
        <v>1.547504477623669E-3</v>
      </c>
      <c r="I17">
        <v>2.92657688955762E-4</v>
      </c>
      <c r="J17">
        <v>-0.35947828263248272</v>
      </c>
      <c r="K17">
        <v>3.1411524769007162</v>
      </c>
      <c r="L17">
        <v>6.6953141075638345E-4</v>
      </c>
      <c r="M17">
        <v>5.8520593976664741E-3</v>
      </c>
      <c r="N17" t="s">
        <v>179</v>
      </c>
      <c r="O17" s="1">
        <v>38503</v>
      </c>
      <c r="P17">
        <v>0.1162731081728816</v>
      </c>
      <c r="Q17">
        <v>5.8136554086440813E-5</v>
      </c>
      <c r="R17">
        <v>5.01552224623719E-3</v>
      </c>
      <c r="S17">
        <v>4.957385692150749E-3</v>
      </c>
      <c r="T17">
        <v>76</v>
      </c>
    </row>
    <row r="18" spans="1:20" x14ac:dyDescent="0.35">
      <c r="A18" s="1">
        <v>38503</v>
      </c>
      <c r="B18" t="s">
        <v>37</v>
      </c>
      <c r="C18" t="s">
        <v>180</v>
      </c>
      <c r="D18">
        <v>-3.6571596690736959E-3</v>
      </c>
      <c r="E18" t="s">
        <v>81</v>
      </c>
      <c r="F18" t="s">
        <v>181</v>
      </c>
      <c r="G18" t="s">
        <v>182</v>
      </c>
      <c r="H18">
        <v>3.5469337769828222E-3</v>
      </c>
      <c r="I18">
        <v>3.7184924127192258E-4</v>
      </c>
      <c r="J18">
        <v>-0.30486483768094369</v>
      </c>
      <c r="K18">
        <v>4.1533371214573442</v>
      </c>
      <c r="L18">
        <v>2.4313860531670539E-3</v>
      </c>
      <c r="M18">
        <v>6.0885457222407497E-3</v>
      </c>
      <c r="N18" t="s">
        <v>183</v>
      </c>
      <c r="O18" s="1">
        <v>38533</v>
      </c>
      <c r="P18">
        <v>0.18333599495871289</v>
      </c>
      <c r="Q18">
        <v>9.1667997479356452E-5</v>
      </c>
      <c r="R18">
        <v>1.8809241358627861E-2</v>
      </c>
      <c r="S18">
        <v>1.8717573361148512E-2</v>
      </c>
      <c r="T18">
        <v>77</v>
      </c>
    </row>
    <row r="19" spans="1:20" x14ac:dyDescent="0.35">
      <c r="A19" s="1">
        <v>38533</v>
      </c>
      <c r="B19" t="s">
        <v>37</v>
      </c>
      <c r="C19" t="s">
        <v>184</v>
      </c>
      <c r="D19">
        <v>-2.835383921025491E-3</v>
      </c>
      <c r="E19" t="s">
        <v>124</v>
      </c>
      <c r="F19" t="s">
        <v>185</v>
      </c>
      <c r="G19" t="s">
        <v>186</v>
      </c>
      <c r="H19">
        <v>2.862347746941728E-3</v>
      </c>
      <c r="I19">
        <v>3.1271117656796492E-4</v>
      </c>
      <c r="J19">
        <v>-0.32645445590415939</v>
      </c>
      <c r="K19">
        <v>3.490564061548532</v>
      </c>
      <c r="L19">
        <v>1.924214217237833E-3</v>
      </c>
      <c r="M19">
        <v>4.7595981382633238E-3</v>
      </c>
      <c r="N19" t="s">
        <v>187</v>
      </c>
      <c r="O19" s="1">
        <v>38564</v>
      </c>
      <c r="P19">
        <v>0.59431051297980098</v>
      </c>
      <c r="Q19">
        <v>2.9715525648990051E-4</v>
      </c>
      <c r="R19">
        <v>1.1803309286441899E-2</v>
      </c>
      <c r="S19">
        <v>1.1506154029952E-2</v>
      </c>
      <c r="T19">
        <v>78</v>
      </c>
    </row>
    <row r="20" spans="1:20" x14ac:dyDescent="0.35">
      <c r="A20" s="1">
        <v>38564</v>
      </c>
      <c r="B20" t="s">
        <v>37</v>
      </c>
      <c r="C20" t="s">
        <v>188</v>
      </c>
      <c r="D20">
        <v>-4.6934734781030911E-3</v>
      </c>
      <c r="E20" t="s">
        <v>115</v>
      </c>
      <c r="F20" t="s">
        <v>189</v>
      </c>
      <c r="G20" t="s">
        <v>190</v>
      </c>
      <c r="H20">
        <v>1.6375519986130389E-3</v>
      </c>
      <c r="I20">
        <v>2.8921597840547459E-4</v>
      </c>
      <c r="J20">
        <v>-0.24671341958726589</v>
      </c>
      <c r="K20">
        <v>3.0283508172571629</v>
      </c>
      <c r="L20">
        <v>7.6990406339661475E-4</v>
      </c>
      <c r="M20">
        <v>5.4633775414997046E-3</v>
      </c>
      <c r="N20" t="s">
        <v>191</v>
      </c>
      <c r="O20" s="1">
        <v>38595</v>
      </c>
      <c r="P20">
        <v>0.33963328434454487</v>
      </c>
      <c r="Q20">
        <v>1.698166421722724E-4</v>
      </c>
      <c r="R20">
        <v>8.0491146766279997E-3</v>
      </c>
      <c r="S20">
        <v>7.8792980344557281E-3</v>
      </c>
      <c r="T20">
        <v>79</v>
      </c>
    </row>
    <row r="21" spans="1:20" x14ac:dyDescent="0.35">
      <c r="A21" s="1">
        <v>38595</v>
      </c>
      <c r="B21" t="s">
        <v>37</v>
      </c>
      <c r="C21" t="s">
        <v>192</v>
      </c>
      <c r="D21">
        <v>-4.6248384612712426E-3</v>
      </c>
      <c r="E21" t="s">
        <v>115</v>
      </c>
      <c r="F21" t="s">
        <v>193</v>
      </c>
      <c r="G21" t="s">
        <v>194</v>
      </c>
      <c r="H21">
        <v>1.994638586731802E-3</v>
      </c>
      <c r="I21">
        <v>3.2630546888922881E-4</v>
      </c>
      <c r="J21">
        <v>-0.1453507335436704</v>
      </c>
      <c r="K21">
        <v>2.8404083883951161</v>
      </c>
      <c r="L21">
        <v>1.0157221800641159E-3</v>
      </c>
      <c r="M21">
        <v>5.6405606413353591E-3</v>
      </c>
      <c r="N21" t="s">
        <v>195</v>
      </c>
      <c r="O21" s="1">
        <v>38625</v>
      </c>
      <c r="P21">
        <v>9.6650823856568355E-2</v>
      </c>
      <c r="Q21">
        <v>4.8325411928284183E-5</v>
      </c>
      <c r="R21">
        <v>1.12443110764174E-2</v>
      </c>
      <c r="S21">
        <v>1.119598566448912E-2</v>
      </c>
      <c r="T21">
        <v>80</v>
      </c>
    </row>
    <row r="22" spans="1:20" x14ac:dyDescent="0.35">
      <c r="A22" s="1">
        <v>38625</v>
      </c>
      <c r="B22" t="s">
        <v>37</v>
      </c>
      <c r="C22" t="s">
        <v>196</v>
      </c>
      <c r="D22">
        <v>-4.0044702486679998E-3</v>
      </c>
      <c r="E22" t="s">
        <v>115</v>
      </c>
      <c r="F22" t="s">
        <v>197</v>
      </c>
      <c r="G22" t="s">
        <v>198</v>
      </c>
      <c r="H22">
        <v>2.506953325732092E-3</v>
      </c>
      <c r="I22">
        <v>2.8752727546523649E-4</v>
      </c>
      <c r="J22">
        <v>-0.35033324295056689</v>
      </c>
      <c r="K22">
        <v>3.0829658004233411</v>
      </c>
      <c r="L22">
        <v>1.6443714993363821E-3</v>
      </c>
      <c r="M22">
        <v>5.6488417480043823E-3</v>
      </c>
      <c r="N22" t="s">
        <v>199</v>
      </c>
      <c r="O22" s="1">
        <v>38656</v>
      </c>
      <c r="P22">
        <v>9.4751679490853724E-2</v>
      </c>
      <c r="Q22">
        <v>4.7375839745426861E-5</v>
      </c>
      <c r="R22">
        <v>-1.3455511033968011E-2</v>
      </c>
      <c r="S22">
        <v>-1.350288687371343E-2</v>
      </c>
      <c r="T22">
        <v>81</v>
      </c>
    </row>
    <row r="23" spans="1:20" x14ac:dyDescent="0.35">
      <c r="A23" s="1">
        <v>38656</v>
      </c>
      <c r="B23" t="s">
        <v>37</v>
      </c>
      <c r="C23" t="s">
        <v>200</v>
      </c>
      <c r="D23">
        <v>-2.1076635302868119E-5</v>
      </c>
      <c r="E23" t="s">
        <v>115</v>
      </c>
      <c r="F23" t="s">
        <v>201</v>
      </c>
      <c r="G23" t="s">
        <v>202</v>
      </c>
      <c r="H23">
        <v>4.6321563990839804E-3</v>
      </c>
      <c r="I23">
        <v>3.5853191990969392E-4</v>
      </c>
      <c r="J23">
        <v>0.14678509894353101</v>
      </c>
      <c r="K23">
        <v>3.3322251842903472</v>
      </c>
      <c r="L23">
        <v>3.5565606393548979E-3</v>
      </c>
      <c r="M23">
        <v>3.577637274657766E-3</v>
      </c>
      <c r="N23" t="s">
        <v>203</v>
      </c>
      <c r="O23" s="1">
        <v>38686</v>
      </c>
      <c r="P23">
        <v>0.46352802477238703</v>
      </c>
      <c r="Q23">
        <v>2.317640123861935E-4</v>
      </c>
      <c r="R23">
        <v>2.0576997153668682E-2</v>
      </c>
      <c r="S23">
        <v>2.034523314128248E-2</v>
      </c>
      <c r="T23">
        <v>82</v>
      </c>
    </row>
    <row r="24" spans="1:20" x14ac:dyDescent="0.35">
      <c r="A24" s="1">
        <v>38686</v>
      </c>
      <c r="B24" t="s">
        <v>37</v>
      </c>
      <c r="C24" t="s">
        <v>204</v>
      </c>
      <c r="D24">
        <v>2.814656295047313E-3</v>
      </c>
      <c r="E24" t="s">
        <v>56</v>
      </c>
      <c r="F24" t="s">
        <v>205</v>
      </c>
      <c r="G24" t="s">
        <v>206</v>
      </c>
      <c r="H24">
        <v>8.5436063206466035E-3</v>
      </c>
      <c r="I24">
        <v>6.210156594837102E-4</v>
      </c>
      <c r="J24">
        <v>-8.0154972089461804E-2</v>
      </c>
      <c r="K24">
        <v>3.3556690440638262</v>
      </c>
      <c r="L24">
        <v>6.6805593421954716E-3</v>
      </c>
      <c r="M24">
        <v>3.865903047148159E-3</v>
      </c>
      <c r="N24" t="s">
        <v>207</v>
      </c>
      <c r="O24" s="1">
        <v>38717</v>
      </c>
      <c r="P24">
        <v>0.35569671619124238</v>
      </c>
      <c r="Q24">
        <v>1.778483580956212E-4</v>
      </c>
      <c r="R24">
        <v>1.164016636638311E-2</v>
      </c>
      <c r="S24">
        <v>1.146231800828749E-2</v>
      </c>
      <c r="T24">
        <v>83</v>
      </c>
    </row>
    <row r="25" spans="1:20" x14ac:dyDescent="0.35">
      <c r="A25" s="1">
        <v>38717</v>
      </c>
      <c r="B25" t="s">
        <v>37</v>
      </c>
      <c r="C25" t="s">
        <v>208</v>
      </c>
      <c r="D25">
        <v>-3.280260068746902E-3</v>
      </c>
      <c r="E25" t="s">
        <v>81</v>
      </c>
      <c r="F25" t="s">
        <v>209</v>
      </c>
      <c r="G25" t="s">
        <v>210</v>
      </c>
      <c r="H25">
        <v>3.6651879460619201E-3</v>
      </c>
      <c r="I25">
        <v>3.2183909473509908E-4</v>
      </c>
      <c r="J25">
        <v>-0.75671324036376486</v>
      </c>
      <c r="K25">
        <v>4.4369741449886213</v>
      </c>
      <c r="L25">
        <v>2.6996706618566228E-3</v>
      </c>
      <c r="M25">
        <v>5.9799307306035252E-3</v>
      </c>
      <c r="N25" t="s">
        <v>211</v>
      </c>
      <c r="O25" s="1">
        <v>38748</v>
      </c>
      <c r="P25">
        <v>0.74535991042901273</v>
      </c>
      <c r="Q25">
        <v>3.726799552145064E-4</v>
      </c>
      <c r="R25">
        <v>3.9704299735689168E-2</v>
      </c>
      <c r="S25">
        <v>3.9331619780474669E-2</v>
      </c>
      <c r="T25">
        <v>84</v>
      </c>
    </row>
    <row r="26" spans="1:20" x14ac:dyDescent="0.35">
      <c r="A26" s="1">
        <v>38748</v>
      </c>
      <c r="B26" t="s">
        <v>37</v>
      </c>
      <c r="C26" t="s">
        <v>212</v>
      </c>
      <c r="D26">
        <v>1.352137735597044E-3</v>
      </c>
      <c r="E26" t="s">
        <v>115</v>
      </c>
      <c r="F26" t="s">
        <v>213</v>
      </c>
      <c r="G26" t="s">
        <v>214</v>
      </c>
      <c r="H26">
        <v>6.7245225530308704E-3</v>
      </c>
      <c r="I26">
        <v>4.4552020570688271E-4</v>
      </c>
      <c r="J26">
        <v>1.7930410976737001E-2</v>
      </c>
      <c r="K26">
        <v>3.1844186614506338</v>
      </c>
      <c r="L26">
        <v>5.387961935910221E-3</v>
      </c>
      <c r="M26">
        <v>4.0358242003131779E-3</v>
      </c>
      <c r="N26" t="s">
        <v>215</v>
      </c>
      <c r="O26" s="1">
        <v>38776</v>
      </c>
      <c r="P26">
        <v>0.73094587841054859</v>
      </c>
      <c r="Q26">
        <v>3.654729392052743E-4</v>
      </c>
      <c r="R26">
        <v>-2.757496212041613E-2</v>
      </c>
      <c r="S26">
        <v>-2.7940435059621401E-2</v>
      </c>
      <c r="T26">
        <v>85</v>
      </c>
    </row>
    <row r="27" spans="1:20" x14ac:dyDescent="0.35">
      <c r="A27" s="1">
        <v>38776</v>
      </c>
      <c r="B27" t="s">
        <v>37</v>
      </c>
      <c r="C27" t="s">
        <v>216</v>
      </c>
      <c r="D27">
        <v>3.0017592845810112E-3</v>
      </c>
      <c r="E27" t="s">
        <v>115</v>
      </c>
      <c r="F27" t="s">
        <v>217</v>
      </c>
      <c r="G27" t="s">
        <v>218</v>
      </c>
      <c r="H27">
        <v>8.010922441948282E-3</v>
      </c>
      <c r="I27">
        <v>4.82040679641586E-4</v>
      </c>
      <c r="J27">
        <v>-7.762277317009748E-3</v>
      </c>
      <c r="K27">
        <v>3.3235186241904251</v>
      </c>
      <c r="L27">
        <v>6.5648004030235243E-3</v>
      </c>
      <c r="M27">
        <v>3.563041118442513E-3</v>
      </c>
      <c r="N27" t="s">
        <v>219</v>
      </c>
      <c r="O27" s="1">
        <v>38807</v>
      </c>
      <c r="P27">
        <v>1.520431537112036E-2</v>
      </c>
      <c r="Q27">
        <v>7.6021576855601814E-6</v>
      </c>
      <c r="R27">
        <v>1.033719093182995E-2</v>
      </c>
      <c r="S27">
        <v>1.032958877414439E-2</v>
      </c>
      <c r="T27">
        <v>86</v>
      </c>
    </row>
    <row r="28" spans="1:20" x14ac:dyDescent="0.35">
      <c r="A28" s="1">
        <v>38807</v>
      </c>
      <c r="B28" t="s">
        <v>37</v>
      </c>
      <c r="C28" t="s">
        <v>220</v>
      </c>
      <c r="D28">
        <v>3.0300974548198691E-3</v>
      </c>
      <c r="E28" t="s">
        <v>115</v>
      </c>
      <c r="F28" t="s">
        <v>221</v>
      </c>
      <c r="G28" t="s">
        <v>222</v>
      </c>
      <c r="H28">
        <v>8.1362271575606826E-3</v>
      </c>
      <c r="I28">
        <v>4.7013089827750709E-4</v>
      </c>
      <c r="J28">
        <v>-1.2559383396860619E-2</v>
      </c>
      <c r="K28">
        <v>3.4106646194582679</v>
      </c>
      <c r="L28">
        <v>6.7258344627281613E-3</v>
      </c>
      <c r="M28">
        <v>3.6957370079082931E-3</v>
      </c>
      <c r="N28" t="s">
        <v>223</v>
      </c>
      <c r="O28" s="1">
        <v>38837</v>
      </c>
      <c r="P28">
        <v>1.359166502217699E-3</v>
      </c>
      <c r="Q28">
        <v>6.7958325110884949E-7</v>
      </c>
      <c r="R28">
        <v>1.6389648363378851E-2</v>
      </c>
      <c r="S28">
        <v>1.638896878012774E-2</v>
      </c>
      <c r="T28">
        <v>87</v>
      </c>
    </row>
    <row r="29" spans="1:20" x14ac:dyDescent="0.35">
      <c r="A29" s="1">
        <v>38837</v>
      </c>
      <c r="B29" t="s">
        <v>37</v>
      </c>
      <c r="C29" t="s">
        <v>224</v>
      </c>
      <c r="D29">
        <v>4.1510806912453948E-3</v>
      </c>
      <c r="E29" t="s">
        <v>225</v>
      </c>
      <c r="F29" t="s">
        <v>226</v>
      </c>
      <c r="G29" t="s">
        <v>227</v>
      </c>
      <c r="H29">
        <v>7.9763200283277415E-3</v>
      </c>
      <c r="I29">
        <v>4.4693212824964439E-4</v>
      </c>
      <c r="J29">
        <v>-4.2101085224904668E-2</v>
      </c>
      <c r="K29">
        <v>3.2186518544297771</v>
      </c>
      <c r="L29">
        <v>6.6355236435788082E-3</v>
      </c>
      <c r="M29">
        <v>2.484442952333413E-3</v>
      </c>
      <c r="N29" t="s">
        <v>228</v>
      </c>
      <c r="O29" s="1">
        <v>38868</v>
      </c>
      <c r="P29">
        <v>0.29435549493088597</v>
      </c>
      <c r="Q29">
        <v>1.4717774746544299E-4</v>
      </c>
      <c r="R29">
        <v>-1.922017428649658E-2</v>
      </c>
      <c r="S29">
        <v>-1.9367352033962022E-2</v>
      </c>
      <c r="T29">
        <v>88</v>
      </c>
    </row>
    <row r="30" spans="1:20" x14ac:dyDescent="0.35">
      <c r="A30" s="1">
        <v>38868</v>
      </c>
      <c r="B30" t="s">
        <v>37</v>
      </c>
      <c r="C30" t="s">
        <v>229</v>
      </c>
      <c r="D30">
        <v>3.513399514995263E-3</v>
      </c>
      <c r="E30" t="s">
        <v>56</v>
      </c>
      <c r="F30" t="s">
        <v>230</v>
      </c>
      <c r="G30" t="s">
        <v>231</v>
      </c>
      <c r="H30">
        <v>1.044587218125966E-2</v>
      </c>
      <c r="I30">
        <v>6.5670124879420853E-4</v>
      </c>
      <c r="J30">
        <v>-5.0349443546418723E-2</v>
      </c>
      <c r="K30">
        <v>3.16093200244871</v>
      </c>
      <c r="L30">
        <v>8.4757684348770387E-3</v>
      </c>
      <c r="M30">
        <v>4.9623689198817758E-3</v>
      </c>
      <c r="N30" t="s">
        <v>232</v>
      </c>
      <c r="O30" s="1">
        <v>38898</v>
      </c>
      <c r="P30">
        <v>0.3094065250016072</v>
      </c>
      <c r="Q30">
        <v>1.547032625008036E-4</v>
      </c>
      <c r="R30">
        <v>1.16198583052612E-2</v>
      </c>
      <c r="S30">
        <v>1.1465155042760401E-2</v>
      </c>
      <c r="T30">
        <v>89</v>
      </c>
    </row>
    <row r="31" spans="1:20" x14ac:dyDescent="0.35">
      <c r="A31" s="1">
        <v>38898</v>
      </c>
      <c r="B31" t="s">
        <v>37</v>
      </c>
      <c r="C31" t="s">
        <v>233</v>
      </c>
      <c r="D31">
        <v>3.1383395472058982E-3</v>
      </c>
      <c r="E31" t="s">
        <v>56</v>
      </c>
      <c r="F31" t="s">
        <v>234</v>
      </c>
      <c r="G31" t="s">
        <v>235</v>
      </c>
      <c r="H31">
        <v>1.047774332690762E-2</v>
      </c>
      <c r="I31">
        <v>5.9290221631441058E-4</v>
      </c>
      <c r="J31">
        <v>1.9768816458339122E-2</v>
      </c>
      <c r="K31">
        <v>3.419102263869739</v>
      </c>
      <c r="L31">
        <v>8.699036677964388E-3</v>
      </c>
      <c r="M31">
        <v>5.5606971307584907E-3</v>
      </c>
      <c r="N31" t="s">
        <v>236</v>
      </c>
      <c r="O31" s="1">
        <v>38929</v>
      </c>
      <c r="P31">
        <v>5.8354034326857374E-7</v>
      </c>
      <c r="Q31">
        <v>2.9177017163428689E-10</v>
      </c>
      <c r="R31">
        <v>2.0791994109603539E-2</v>
      </c>
      <c r="S31">
        <v>2.0791993817833369E-2</v>
      </c>
      <c r="T31">
        <v>90</v>
      </c>
    </row>
    <row r="32" spans="1:20" x14ac:dyDescent="0.35">
      <c r="A32" s="1">
        <v>38929</v>
      </c>
      <c r="B32" t="s">
        <v>37</v>
      </c>
      <c r="C32" t="s">
        <v>237</v>
      </c>
      <c r="D32">
        <v>2.8956994136144542E-3</v>
      </c>
      <c r="E32" t="s">
        <v>115</v>
      </c>
      <c r="F32" t="s">
        <v>238</v>
      </c>
      <c r="G32" t="s">
        <v>239</v>
      </c>
      <c r="H32">
        <v>7.8417367701132824E-3</v>
      </c>
      <c r="I32">
        <v>4.9343786623288913E-4</v>
      </c>
      <c r="J32">
        <v>-0.1522948690983455</v>
      </c>
      <c r="K32">
        <v>3.5572544064210869</v>
      </c>
      <c r="L32">
        <v>6.3614231714146149E-3</v>
      </c>
      <c r="M32">
        <v>3.4657237578001611E-3</v>
      </c>
      <c r="N32" t="s">
        <v>240</v>
      </c>
      <c r="O32" s="1">
        <v>38960</v>
      </c>
      <c r="P32">
        <v>0.22163376431602311</v>
      </c>
      <c r="Q32">
        <v>1.108168821580116E-4</v>
      </c>
      <c r="R32">
        <v>-5.2057567437343406E-4</v>
      </c>
      <c r="S32">
        <v>-6.3139255653144565E-4</v>
      </c>
      <c r="T32">
        <v>91</v>
      </c>
    </row>
    <row r="33" spans="1:20" x14ac:dyDescent="0.35">
      <c r="A33" s="1">
        <v>38960</v>
      </c>
      <c r="B33" t="s">
        <v>37</v>
      </c>
      <c r="C33" t="s">
        <v>241</v>
      </c>
      <c r="D33">
        <v>-1.036398772352524E-3</v>
      </c>
      <c r="E33" t="s">
        <v>81</v>
      </c>
      <c r="F33" t="s">
        <v>242</v>
      </c>
      <c r="G33" t="s">
        <v>243</v>
      </c>
      <c r="H33">
        <v>6.2705091642456341E-3</v>
      </c>
      <c r="I33">
        <v>3.3428821338661309E-4</v>
      </c>
      <c r="J33">
        <v>-0.194677489130094</v>
      </c>
      <c r="K33">
        <v>3.1641377420618571</v>
      </c>
      <c r="L33">
        <v>5.2676445240857949E-3</v>
      </c>
      <c r="M33">
        <v>6.3040432964383188E-3</v>
      </c>
      <c r="N33" t="s">
        <v>244</v>
      </c>
      <c r="O33" s="1">
        <v>38990</v>
      </c>
      <c r="P33">
        <v>0.64042232372353558</v>
      </c>
      <c r="Q33">
        <v>3.2021116186176779E-4</v>
      </c>
      <c r="R33">
        <v>-3.7646728974964809E-3</v>
      </c>
      <c r="S33">
        <v>-4.0848840593582488E-3</v>
      </c>
      <c r="T33">
        <v>92</v>
      </c>
    </row>
    <row r="34" spans="1:20" x14ac:dyDescent="0.35">
      <c r="A34" s="1">
        <v>38990</v>
      </c>
      <c r="B34" t="s">
        <v>37</v>
      </c>
      <c r="C34" t="s">
        <v>245</v>
      </c>
      <c r="D34">
        <v>1.3842883879563799E-3</v>
      </c>
      <c r="E34" t="s">
        <v>115</v>
      </c>
      <c r="F34" t="s">
        <v>246</v>
      </c>
      <c r="G34" t="s">
        <v>247</v>
      </c>
      <c r="H34">
        <v>6.2415207157026443E-3</v>
      </c>
      <c r="I34">
        <v>3.8616614428090652E-4</v>
      </c>
      <c r="J34">
        <v>-9.4254143775467106E-2</v>
      </c>
      <c r="K34">
        <v>3.390737076082341</v>
      </c>
      <c r="L34">
        <v>5.0830222828599251E-3</v>
      </c>
      <c r="M34">
        <v>3.698733894903545E-3</v>
      </c>
      <c r="N34" t="s">
        <v>248</v>
      </c>
      <c r="O34" s="1">
        <v>39021</v>
      </c>
      <c r="P34">
        <v>0.42050435921866058</v>
      </c>
      <c r="Q34">
        <v>2.102521796093303E-4</v>
      </c>
      <c r="R34">
        <v>2.050693920258698E-2</v>
      </c>
      <c r="S34">
        <v>2.0296687022977648E-2</v>
      </c>
      <c r="T34">
        <v>93</v>
      </c>
    </row>
    <row r="35" spans="1:20" x14ac:dyDescent="0.35">
      <c r="A35" s="1">
        <v>39021</v>
      </c>
      <c r="B35" t="s">
        <v>37</v>
      </c>
      <c r="C35" t="s">
        <v>249</v>
      </c>
      <c r="D35">
        <v>5.0160002844282531E-3</v>
      </c>
      <c r="E35" t="s">
        <v>56</v>
      </c>
      <c r="F35" t="s">
        <v>250</v>
      </c>
      <c r="G35" t="s">
        <v>251</v>
      </c>
      <c r="H35">
        <v>9.71642958723405E-3</v>
      </c>
      <c r="I35">
        <v>5.9889597227456132E-4</v>
      </c>
      <c r="J35">
        <v>4.5498676039067758E-2</v>
      </c>
      <c r="K35">
        <v>3.312357802273838</v>
      </c>
      <c r="L35">
        <v>7.9197416704103654E-3</v>
      </c>
      <c r="M35">
        <v>2.9037413859821122E-3</v>
      </c>
      <c r="N35" t="s">
        <v>252</v>
      </c>
      <c r="O35" s="1">
        <v>39051</v>
      </c>
      <c r="P35">
        <v>0.62712918468500456</v>
      </c>
      <c r="Q35">
        <v>3.1356459234250231E-4</v>
      </c>
      <c r="R35">
        <v>4.2734414208850068E-2</v>
      </c>
      <c r="S35">
        <v>4.2420849616507557E-2</v>
      </c>
      <c r="T35">
        <v>94</v>
      </c>
    </row>
    <row r="36" spans="1:20" x14ac:dyDescent="0.35">
      <c r="A36" s="1">
        <v>39051</v>
      </c>
      <c r="B36" t="s">
        <v>37</v>
      </c>
      <c r="C36" t="s">
        <v>253</v>
      </c>
      <c r="D36">
        <v>-1.9709103828620641E-4</v>
      </c>
      <c r="E36" t="s">
        <v>115</v>
      </c>
      <c r="F36" t="s">
        <v>254</v>
      </c>
      <c r="G36" t="s">
        <v>255</v>
      </c>
      <c r="H36">
        <v>5.7282808494761037E-3</v>
      </c>
      <c r="I36">
        <v>3.485312978582575E-4</v>
      </c>
      <c r="J36">
        <v>-0.35801300841515232</v>
      </c>
      <c r="K36">
        <v>3.0457270492495812</v>
      </c>
      <c r="L36">
        <v>4.6826869559013313E-3</v>
      </c>
      <c r="M36">
        <v>4.8797779941875379E-3</v>
      </c>
      <c r="N36" t="s">
        <v>256</v>
      </c>
      <c r="O36" s="1">
        <v>39082</v>
      </c>
      <c r="P36">
        <v>0.77113021746342847</v>
      </c>
      <c r="Q36">
        <v>3.8556510873171432E-4</v>
      </c>
      <c r="R36">
        <v>-4.5603194221667956E-3</v>
      </c>
      <c r="S36">
        <v>-4.9458845308985111E-3</v>
      </c>
      <c r="T36">
        <v>95</v>
      </c>
    </row>
    <row r="37" spans="1:20" x14ac:dyDescent="0.35">
      <c r="A37" s="1">
        <v>39082</v>
      </c>
      <c r="B37" t="s">
        <v>37</v>
      </c>
      <c r="C37" t="s">
        <v>257</v>
      </c>
      <c r="D37">
        <v>3.713603535434339E-3</v>
      </c>
      <c r="E37" t="s">
        <v>56</v>
      </c>
      <c r="F37" t="s">
        <v>258</v>
      </c>
      <c r="G37" t="s">
        <v>259</v>
      </c>
      <c r="H37">
        <v>9.8688366910133114E-3</v>
      </c>
      <c r="I37">
        <v>5.9627399554691338E-4</v>
      </c>
      <c r="J37">
        <v>5.6790006894736393E-2</v>
      </c>
      <c r="K37">
        <v>3.2164540014764742</v>
      </c>
      <c r="L37">
        <v>8.0800147043725706E-3</v>
      </c>
      <c r="M37">
        <v>4.3664111689382321E-3</v>
      </c>
      <c r="N37" t="s">
        <v>260</v>
      </c>
      <c r="O37" s="1">
        <v>39113</v>
      </c>
      <c r="P37">
        <v>0.77113038535748046</v>
      </c>
      <c r="Q37">
        <v>3.8556519267874019E-4</v>
      </c>
      <c r="R37">
        <v>-2.1668092998420418E-3</v>
      </c>
      <c r="S37">
        <v>-2.552374492520782E-3</v>
      </c>
      <c r="T37">
        <v>96</v>
      </c>
    </row>
    <row r="38" spans="1:20" x14ac:dyDescent="0.35">
      <c r="A38" s="1">
        <v>39113</v>
      </c>
      <c r="B38" t="s">
        <v>37</v>
      </c>
      <c r="C38" t="s">
        <v>261</v>
      </c>
      <c r="D38">
        <v>-1.3967869192900551E-4</v>
      </c>
      <c r="E38" t="s">
        <v>115</v>
      </c>
      <c r="F38" t="s">
        <v>262</v>
      </c>
      <c r="G38" t="s">
        <v>263</v>
      </c>
      <c r="H38">
        <v>5.3309132849060506E-3</v>
      </c>
      <c r="I38">
        <v>3.4592280438384759E-4</v>
      </c>
      <c r="J38">
        <v>-0.35620049575610202</v>
      </c>
      <c r="K38">
        <v>2.9516465735511228</v>
      </c>
      <c r="L38">
        <v>4.2931448717545076E-3</v>
      </c>
      <c r="M38">
        <v>4.4328235636835129E-3</v>
      </c>
      <c r="N38" t="s">
        <v>264</v>
      </c>
      <c r="O38" s="1">
        <v>39141</v>
      </c>
      <c r="P38">
        <v>0.78123595930610512</v>
      </c>
      <c r="Q38">
        <v>3.9061797965305259E-4</v>
      </c>
      <c r="R38">
        <v>6.9849622744695876E-3</v>
      </c>
      <c r="S38">
        <v>6.594344294816536E-3</v>
      </c>
      <c r="T38">
        <v>97</v>
      </c>
    </row>
    <row r="39" spans="1:20" x14ac:dyDescent="0.35">
      <c r="A39" s="1">
        <v>39141</v>
      </c>
      <c r="B39" t="s">
        <v>37</v>
      </c>
      <c r="C39" t="s">
        <v>265</v>
      </c>
      <c r="D39">
        <v>4.7477459320712078E-3</v>
      </c>
      <c r="E39" t="s">
        <v>266</v>
      </c>
      <c r="F39" t="s">
        <v>267</v>
      </c>
      <c r="G39" t="s">
        <v>268</v>
      </c>
      <c r="H39">
        <v>8.7342623234037495E-3</v>
      </c>
      <c r="I39">
        <v>4.5707484681194182E-4</v>
      </c>
      <c r="J39">
        <v>-2.0256194441916599E-2</v>
      </c>
      <c r="K39">
        <v>3.6128397733677331</v>
      </c>
      <c r="L39">
        <v>7.3630377829679242E-3</v>
      </c>
      <c r="M39">
        <v>2.615291850896716E-3</v>
      </c>
      <c r="N39" t="s">
        <v>269</v>
      </c>
      <c r="O39" s="1">
        <v>39172</v>
      </c>
      <c r="P39">
        <v>0.58123593906261162</v>
      </c>
      <c r="Q39">
        <v>2.9061796953130578E-4</v>
      </c>
      <c r="R39">
        <v>2.1299104544706571E-2</v>
      </c>
      <c r="S39">
        <v>2.1008486575175261E-2</v>
      </c>
      <c r="T39">
        <v>98</v>
      </c>
    </row>
    <row r="40" spans="1:20" x14ac:dyDescent="0.35">
      <c r="A40" s="1">
        <v>39172</v>
      </c>
      <c r="B40" t="s">
        <v>37</v>
      </c>
      <c r="C40" t="s">
        <v>270</v>
      </c>
      <c r="D40">
        <v>4.6897403832073213E-3</v>
      </c>
      <c r="E40" t="s">
        <v>266</v>
      </c>
      <c r="F40" t="s">
        <v>271</v>
      </c>
      <c r="G40" t="s">
        <v>272</v>
      </c>
      <c r="H40">
        <v>9.1211041719962086E-3</v>
      </c>
      <c r="I40">
        <v>5.1032391982682595E-4</v>
      </c>
      <c r="J40">
        <v>2.6371773862361138E-2</v>
      </c>
      <c r="K40">
        <v>3.403058420699006</v>
      </c>
      <c r="L40">
        <v>7.5901324125157311E-3</v>
      </c>
      <c r="M40">
        <v>2.9003920293084102E-3</v>
      </c>
      <c r="N40" t="s">
        <v>273</v>
      </c>
      <c r="O40" s="1">
        <v>39202</v>
      </c>
      <c r="P40">
        <v>0.10000003036526579</v>
      </c>
      <c r="Q40">
        <v>5.0000015182632897E-5</v>
      </c>
      <c r="R40">
        <v>3.113142871472338E-2</v>
      </c>
      <c r="S40">
        <v>3.1081428699540749E-2</v>
      </c>
      <c r="T40">
        <v>99</v>
      </c>
    </row>
    <row r="41" spans="1:20" x14ac:dyDescent="0.35">
      <c r="A41" s="1">
        <v>39202</v>
      </c>
      <c r="B41" t="s">
        <v>37</v>
      </c>
      <c r="C41" t="s">
        <v>274</v>
      </c>
      <c r="D41">
        <v>4.3222467610819276E-3</v>
      </c>
      <c r="E41" t="s">
        <v>56</v>
      </c>
      <c r="F41" t="s">
        <v>275</v>
      </c>
      <c r="G41" t="s">
        <v>276</v>
      </c>
      <c r="H41">
        <v>1.02563821283743E-2</v>
      </c>
      <c r="I41">
        <v>5.7797629387736744E-4</v>
      </c>
      <c r="J41">
        <v>4.3965834361299742E-2</v>
      </c>
      <c r="K41">
        <v>3.2652575544609461</v>
      </c>
      <c r="L41">
        <v>8.5224532467421989E-3</v>
      </c>
      <c r="M41">
        <v>4.2002064856602704E-3</v>
      </c>
      <c r="N41" t="s">
        <v>277</v>
      </c>
      <c r="O41" s="1">
        <v>39233</v>
      </c>
      <c r="P41">
        <v>0.1000000000000001</v>
      </c>
      <c r="Q41">
        <v>5.0000000000000043E-5</v>
      </c>
      <c r="R41">
        <v>3.1390931254983649E-2</v>
      </c>
      <c r="S41">
        <v>3.1340931254983648E-2</v>
      </c>
      <c r="T41">
        <v>100</v>
      </c>
    </row>
    <row r="42" spans="1:20" x14ac:dyDescent="0.35">
      <c r="A42" s="1">
        <v>39233</v>
      </c>
      <c r="B42" t="s">
        <v>37</v>
      </c>
      <c r="C42" t="s">
        <v>278</v>
      </c>
      <c r="D42">
        <v>5.1434500775329531E-3</v>
      </c>
      <c r="E42" t="s">
        <v>56</v>
      </c>
      <c r="F42" t="s">
        <v>279</v>
      </c>
      <c r="G42" t="s">
        <v>280</v>
      </c>
      <c r="H42">
        <v>9.9594864927358261E-3</v>
      </c>
      <c r="I42">
        <v>5.7304482170643823E-4</v>
      </c>
      <c r="J42">
        <v>1.5865302764102619E-2</v>
      </c>
      <c r="K42">
        <v>3.226876526293093</v>
      </c>
      <c r="L42">
        <v>8.2403520276165109E-3</v>
      </c>
      <c r="M42">
        <v>3.0969019500835578E-3</v>
      </c>
      <c r="N42" t="s">
        <v>281</v>
      </c>
      <c r="O42" s="1">
        <v>39263</v>
      </c>
      <c r="P42">
        <v>1.9342527579624399E-11</v>
      </c>
      <c r="Q42">
        <v>9.6712637898122016E-15</v>
      </c>
      <c r="R42">
        <v>-1.0422385084695261E-5</v>
      </c>
      <c r="S42">
        <v>-1.0422385094366531E-5</v>
      </c>
      <c r="T42">
        <v>101</v>
      </c>
    </row>
    <row r="43" spans="1:20" x14ac:dyDescent="0.35">
      <c r="A43" s="1">
        <v>39263</v>
      </c>
      <c r="B43" t="s">
        <v>37</v>
      </c>
      <c r="C43" t="s">
        <v>282</v>
      </c>
      <c r="D43">
        <v>4.7283615302884151E-3</v>
      </c>
      <c r="E43" t="s">
        <v>56</v>
      </c>
      <c r="F43" t="s">
        <v>275</v>
      </c>
      <c r="G43" t="s">
        <v>276</v>
      </c>
      <c r="H43">
        <v>9.700932229963875E-3</v>
      </c>
      <c r="I43">
        <v>5.6597594682124936E-4</v>
      </c>
      <c r="J43">
        <v>4.4726427803317537E-2</v>
      </c>
      <c r="K43">
        <v>3.2501588693832608</v>
      </c>
      <c r="L43">
        <v>8.0030043895001277E-3</v>
      </c>
      <c r="M43">
        <v>3.274642859211713E-3</v>
      </c>
      <c r="N43" t="s">
        <v>283</v>
      </c>
      <c r="O43" s="1">
        <v>39294</v>
      </c>
      <c r="P43">
        <v>1.9342527579624399E-11</v>
      </c>
      <c r="Q43">
        <v>9.6712637898122016E-15</v>
      </c>
      <c r="R43">
        <v>2.312488342601992E-3</v>
      </c>
      <c r="S43">
        <v>2.312488342592321E-3</v>
      </c>
      <c r="T43">
        <v>102</v>
      </c>
    </row>
    <row r="44" spans="1:20" x14ac:dyDescent="0.35">
      <c r="A44" s="1">
        <v>39294</v>
      </c>
      <c r="B44" t="s">
        <v>37</v>
      </c>
      <c r="C44" t="s">
        <v>284</v>
      </c>
      <c r="D44">
        <v>7.9806342225490819E-3</v>
      </c>
      <c r="E44" t="s">
        <v>46</v>
      </c>
      <c r="F44" t="s">
        <v>285</v>
      </c>
      <c r="G44" t="s">
        <v>286</v>
      </c>
      <c r="H44">
        <v>1.348514409463379E-2</v>
      </c>
      <c r="I44">
        <v>4.0644083243947211E-4</v>
      </c>
      <c r="J44">
        <v>-0.33997076906550761</v>
      </c>
      <c r="K44">
        <v>3.496866924256067</v>
      </c>
      <c r="L44">
        <v>1.226582159731537E-2</v>
      </c>
      <c r="M44">
        <v>4.2851873747662894E-3</v>
      </c>
      <c r="N44" t="s">
        <v>287</v>
      </c>
      <c r="O44" s="1">
        <v>39325</v>
      </c>
      <c r="P44">
        <v>0.8</v>
      </c>
      <c r="Q44">
        <v>4.0000000000000002E-4</v>
      </c>
      <c r="R44">
        <v>9.1831683033066699E-3</v>
      </c>
      <c r="S44">
        <v>8.7831683033066706E-3</v>
      </c>
      <c r="T44">
        <v>103</v>
      </c>
    </row>
    <row r="45" spans="1:20" x14ac:dyDescent="0.35">
      <c r="A45" s="1">
        <v>39325</v>
      </c>
      <c r="B45" t="s">
        <v>37</v>
      </c>
      <c r="C45" t="s">
        <v>288</v>
      </c>
      <c r="D45">
        <v>4.7148025345630446E-3</v>
      </c>
      <c r="E45" t="s">
        <v>56</v>
      </c>
      <c r="F45" t="s">
        <v>289</v>
      </c>
      <c r="G45" t="s">
        <v>290</v>
      </c>
      <c r="H45">
        <v>8.9627107886498022E-3</v>
      </c>
      <c r="I45">
        <v>5.3026756131499498E-4</v>
      </c>
      <c r="J45">
        <v>-5.1229645613992021E-2</v>
      </c>
      <c r="K45">
        <v>3.4168910464996798</v>
      </c>
      <c r="L45">
        <v>7.3719081047048177E-3</v>
      </c>
      <c r="M45">
        <v>2.6571055701417718E-3</v>
      </c>
      <c r="N45" t="s">
        <v>291</v>
      </c>
      <c r="O45" s="1">
        <v>39355</v>
      </c>
      <c r="P45">
        <v>0.76086288281979231</v>
      </c>
      <c r="Q45">
        <v>3.8043144140989619E-4</v>
      </c>
      <c r="R45">
        <v>3.6519623659619048E-2</v>
      </c>
      <c r="S45">
        <v>3.613919221820916E-2</v>
      </c>
      <c r="T45">
        <v>104</v>
      </c>
    </row>
    <row r="46" spans="1:20" x14ac:dyDescent="0.35">
      <c r="A46" s="1">
        <v>39355</v>
      </c>
      <c r="B46" t="s">
        <v>37</v>
      </c>
      <c r="C46" t="s">
        <v>292</v>
      </c>
      <c r="D46">
        <v>3.735082942843596E-3</v>
      </c>
      <c r="E46" t="s">
        <v>266</v>
      </c>
      <c r="F46" t="s">
        <v>293</v>
      </c>
      <c r="G46" t="s">
        <v>294</v>
      </c>
      <c r="H46">
        <v>9.2499478121745009E-3</v>
      </c>
      <c r="I46">
        <v>4.5530208144892929E-4</v>
      </c>
      <c r="J46">
        <v>9.2869269472751481E-3</v>
      </c>
      <c r="K46">
        <v>3.7618162833282249</v>
      </c>
      <c r="L46">
        <v>7.8840415678277133E-3</v>
      </c>
      <c r="M46">
        <v>4.1489586249841169E-3</v>
      </c>
      <c r="N46" t="s">
        <v>295</v>
      </c>
      <c r="O46" s="1">
        <v>39386</v>
      </c>
      <c r="P46">
        <v>0.42364273049820989</v>
      </c>
      <c r="Q46">
        <v>2.11821365249105E-4</v>
      </c>
      <c r="R46">
        <v>1.6760434082377321E-2</v>
      </c>
      <c r="S46">
        <v>1.6548612717128219E-2</v>
      </c>
      <c r="T46">
        <v>105</v>
      </c>
    </row>
    <row r="47" spans="1:20" x14ac:dyDescent="0.35">
      <c r="A47" s="1">
        <v>39386</v>
      </c>
      <c r="B47" t="s">
        <v>37</v>
      </c>
      <c r="C47" t="s">
        <v>296</v>
      </c>
      <c r="D47">
        <v>3.9613700290965521E-3</v>
      </c>
      <c r="E47" t="s">
        <v>56</v>
      </c>
      <c r="F47" t="s">
        <v>297</v>
      </c>
      <c r="G47" t="s">
        <v>298</v>
      </c>
      <c r="H47">
        <v>9.9413161021443958E-3</v>
      </c>
      <c r="I47">
        <v>4.9274559886621969E-4</v>
      </c>
      <c r="J47">
        <v>5.7523546848839091E-2</v>
      </c>
      <c r="K47">
        <v>3.490694652512087</v>
      </c>
      <c r="L47">
        <v>8.4630793055457364E-3</v>
      </c>
      <c r="M47">
        <v>4.5017092764491843E-3</v>
      </c>
      <c r="N47" t="s">
        <v>299</v>
      </c>
      <c r="O47" s="1">
        <v>39416</v>
      </c>
      <c r="P47">
        <v>9.4409101823640762E-2</v>
      </c>
      <c r="Q47">
        <v>4.7204550911820392E-5</v>
      </c>
      <c r="R47">
        <v>-1.081444502380682E-2</v>
      </c>
      <c r="S47">
        <v>-1.086164957471864E-2</v>
      </c>
      <c r="T47">
        <v>106</v>
      </c>
    </row>
    <row r="48" spans="1:20" x14ac:dyDescent="0.35">
      <c r="A48" s="1">
        <v>39416</v>
      </c>
      <c r="B48" t="s">
        <v>37</v>
      </c>
      <c r="C48" t="s">
        <v>300</v>
      </c>
      <c r="D48">
        <v>7.8978682629548737E-3</v>
      </c>
      <c r="E48" t="s">
        <v>56</v>
      </c>
      <c r="F48" t="s">
        <v>301</v>
      </c>
      <c r="G48" t="s">
        <v>302</v>
      </c>
      <c r="H48">
        <v>1.449655797798865E-2</v>
      </c>
      <c r="I48">
        <v>5.0411659387787958E-4</v>
      </c>
      <c r="J48">
        <v>0.55835136901208715</v>
      </c>
      <c r="K48">
        <v>2.858996047822258</v>
      </c>
      <c r="L48">
        <v>1.2984208196355009E-2</v>
      </c>
      <c r="M48">
        <v>5.0863399334001407E-3</v>
      </c>
      <c r="N48" t="s">
        <v>303</v>
      </c>
      <c r="O48" s="1">
        <v>39447</v>
      </c>
      <c r="P48">
        <v>0.3962081636556225</v>
      </c>
      <c r="Q48">
        <v>1.9810408182781129E-4</v>
      </c>
      <c r="R48">
        <v>3.0479992505750109E-2</v>
      </c>
      <c r="S48">
        <v>3.0281888423922289E-2</v>
      </c>
      <c r="T48">
        <v>107</v>
      </c>
    </row>
    <row r="49" spans="1:20" x14ac:dyDescent="0.35">
      <c r="A49" s="1">
        <v>39447</v>
      </c>
      <c r="B49" t="s">
        <v>37</v>
      </c>
      <c r="C49" t="s">
        <v>304</v>
      </c>
      <c r="D49">
        <v>5.5304214172139706E-3</v>
      </c>
      <c r="E49" t="s">
        <v>56</v>
      </c>
      <c r="F49" t="s">
        <v>305</v>
      </c>
      <c r="G49" t="s">
        <v>306</v>
      </c>
      <c r="H49">
        <v>1.1456276248347511E-2</v>
      </c>
      <c r="I49">
        <v>5.5707837453017849E-4</v>
      </c>
      <c r="J49">
        <v>-7.277785410772529E-3</v>
      </c>
      <c r="K49">
        <v>3.2496296161215992</v>
      </c>
      <c r="L49">
        <v>9.7850411247569699E-3</v>
      </c>
      <c r="M49">
        <v>4.2546197075429993E-3</v>
      </c>
      <c r="N49" t="s">
        <v>307</v>
      </c>
      <c r="O49" s="1">
        <v>39478</v>
      </c>
      <c r="P49">
        <v>0.11672874617377001</v>
      </c>
      <c r="Q49">
        <v>5.8364373086885027E-5</v>
      </c>
      <c r="R49">
        <v>-4.5959683220145167E-2</v>
      </c>
      <c r="S49">
        <v>-4.6018047593232053E-2</v>
      </c>
      <c r="T49">
        <v>108</v>
      </c>
    </row>
    <row r="50" spans="1:20" x14ac:dyDescent="0.35">
      <c r="A50" s="1">
        <v>39478</v>
      </c>
      <c r="B50" t="s">
        <v>37</v>
      </c>
      <c r="C50" t="s">
        <v>308</v>
      </c>
      <c r="D50">
        <v>4.4970141551953727E-3</v>
      </c>
      <c r="E50" t="s">
        <v>75</v>
      </c>
      <c r="F50" t="s">
        <v>309</v>
      </c>
      <c r="G50" t="s">
        <v>310</v>
      </c>
      <c r="H50">
        <v>1.0150612045091391E-2</v>
      </c>
      <c r="I50">
        <v>3.0931012708081742E-4</v>
      </c>
      <c r="J50">
        <v>-0.1112016843893771</v>
      </c>
      <c r="K50">
        <v>5.2521383029682989</v>
      </c>
      <c r="L50">
        <v>9.2226816638489358E-3</v>
      </c>
      <c r="M50">
        <v>4.7256675086535631E-3</v>
      </c>
      <c r="N50" t="s">
        <v>311</v>
      </c>
      <c r="O50" s="1">
        <v>39507</v>
      </c>
      <c r="P50">
        <v>0.66870697970304338</v>
      </c>
      <c r="Q50">
        <v>3.3435348985152172E-4</v>
      </c>
      <c r="R50">
        <v>-1.4384826464764621E-2</v>
      </c>
      <c r="S50">
        <v>-1.471917995461614E-2</v>
      </c>
      <c r="T50">
        <v>109</v>
      </c>
    </row>
    <row r="51" spans="1:20" x14ac:dyDescent="0.35">
      <c r="A51" s="1">
        <v>39507</v>
      </c>
      <c r="B51" t="s">
        <v>37</v>
      </c>
      <c r="C51" t="s">
        <v>312</v>
      </c>
      <c r="D51">
        <v>2.5639172183032212E-3</v>
      </c>
      <c r="E51" t="s">
        <v>56</v>
      </c>
      <c r="F51" t="s">
        <v>313</v>
      </c>
      <c r="G51" t="s">
        <v>314</v>
      </c>
      <c r="H51">
        <v>9.0982274201082281E-3</v>
      </c>
      <c r="I51">
        <v>5.6555494289402665E-4</v>
      </c>
      <c r="J51">
        <v>-0.29565514351940059</v>
      </c>
      <c r="K51">
        <v>3.4325527081536409</v>
      </c>
      <c r="L51">
        <v>7.4015625914261481E-3</v>
      </c>
      <c r="M51">
        <v>4.8376453731229256E-3</v>
      </c>
      <c r="N51" t="s">
        <v>315</v>
      </c>
      <c r="O51" s="1">
        <v>39538</v>
      </c>
      <c r="P51">
        <v>4.2343902975003858E-2</v>
      </c>
      <c r="Q51">
        <v>2.1171951487501931E-5</v>
      </c>
      <c r="R51">
        <v>2.2687152365711712E-3</v>
      </c>
      <c r="S51">
        <v>2.2475432850836692E-3</v>
      </c>
      <c r="T51">
        <v>110</v>
      </c>
    </row>
    <row r="52" spans="1:20" x14ac:dyDescent="0.35">
      <c r="A52" s="1">
        <v>39538</v>
      </c>
      <c r="B52" t="s">
        <v>37</v>
      </c>
      <c r="C52" t="s">
        <v>316</v>
      </c>
      <c r="D52">
        <v>2.5282688087268322E-3</v>
      </c>
      <c r="E52" t="s">
        <v>56</v>
      </c>
      <c r="F52" t="s">
        <v>317</v>
      </c>
      <c r="G52" t="s">
        <v>318</v>
      </c>
      <c r="H52">
        <v>8.8753279878442531E-3</v>
      </c>
      <c r="I52">
        <v>5.4361495807735605E-4</v>
      </c>
      <c r="J52">
        <v>-0.219846249618394</v>
      </c>
      <c r="K52">
        <v>3.4270093912810622</v>
      </c>
      <c r="L52">
        <v>7.2444831136121851E-3</v>
      </c>
      <c r="M52">
        <v>4.7162143048853529E-3</v>
      </c>
      <c r="N52" t="s">
        <v>319</v>
      </c>
      <c r="O52" s="1">
        <v>39568</v>
      </c>
      <c r="P52">
        <v>0.33116755122437791</v>
      </c>
      <c r="Q52">
        <v>1.6558377561218899E-4</v>
      </c>
      <c r="R52">
        <v>2.8748579850205531E-2</v>
      </c>
      <c r="S52">
        <v>2.8582996074593341E-2</v>
      </c>
      <c r="T52">
        <v>111</v>
      </c>
    </row>
    <row r="53" spans="1:20" x14ac:dyDescent="0.35">
      <c r="A53" s="1">
        <v>39568</v>
      </c>
      <c r="B53" t="s">
        <v>37</v>
      </c>
      <c r="C53" t="s">
        <v>320</v>
      </c>
      <c r="D53">
        <v>4.5531691687064092E-3</v>
      </c>
      <c r="E53" t="s">
        <v>56</v>
      </c>
      <c r="F53" t="s">
        <v>321</v>
      </c>
      <c r="G53" t="s">
        <v>322</v>
      </c>
      <c r="H53">
        <v>9.729554825088688E-3</v>
      </c>
      <c r="I53">
        <v>5.9223627367021952E-4</v>
      </c>
      <c r="J53">
        <v>-0.29153514473548381</v>
      </c>
      <c r="K53">
        <v>3.4150061291618639</v>
      </c>
      <c r="L53">
        <v>7.9528460040780291E-3</v>
      </c>
      <c r="M53">
        <v>3.3996768353716199E-3</v>
      </c>
      <c r="N53" t="s">
        <v>323</v>
      </c>
      <c r="O53" s="1">
        <v>39599</v>
      </c>
      <c r="P53">
        <v>0.42560784869039242</v>
      </c>
      <c r="Q53">
        <v>2.1280392434519621E-4</v>
      </c>
      <c r="R53">
        <v>1.5990170734763921E-2</v>
      </c>
      <c r="S53">
        <v>1.5777366810418719E-2</v>
      </c>
      <c r="T53">
        <v>112</v>
      </c>
    </row>
    <row r="54" spans="1:20" x14ac:dyDescent="0.35">
      <c r="A54" s="1">
        <v>39599</v>
      </c>
      <c r="B54" t="s">
        <v>37</v>
      </c>
      <c r="C54" t="s">
        <v>324</v>
      </c>
      <c r="D54">
        <v>2.66451617403499E-3</v>
      </c>
      <c r="E54" t="s">
        <v>56</v>
      </c>
      <c r="F54" t="s">
        <v>325</v>
      </c>
      <c r="G54" t="s">
        <v>326</v>
      </c>
      <c r="H54">
        <v>9.1703420674208291E-3</v>
      </c>
      <c r="I54">
        <v>5.5584217009448252E-4</v>
      </c>
      <c r="J54">
        <v>-0.33335418609403078</v>
      </c>
      <c r="K54">
        <v>3.4110080229859361</v>
      </c>
      <c r="L54">
        <v>7.5028155571373817E-3</v>
      </c>
      <c r="M54">
        <v>4.8382993831023917E-3</v>
      </c>
      <c r="N54" t="s">
        <v>327</v>
      </c>
      <c r="O54" s="1">
        <v>39629</v>
      </c>
      <c r="P54">
        <v>0.36471846069075131</v>
      </c>
      <c r="Q54">
        <v>1.8235923034537569E-4</v>
      </c>
      <c r="R54">
        <v>-2.2851585529893342E-2</v>
      </c>
      <c r="S54">
        <v>-2.3033944760238709E-2</v>
      </c>
      <c r="T54">
        <v>113</v>
      </c>
    </row>
    <row r="55" spans="1:20" x14ac:dyDescent="0.35">
      <c r="A55" s="1">
        <v>39629</v>
      </c>
      <c r="B55" t="s">
        <v>37</v>
      </c>
      <c r="C55" t="s">
        <v>328</v>
      </c>
      <c r="D55">
        <v>4.8229041501536467E-3</v>
      </c>
      <c r="E55" t="s">
        <v>56</v>
      </c>
      <c r="F55" t="s">
        <v>329</v>
      </c>
      <c r="G55" t="s">
        <v>330</v>
      </c>
      <c r="H55">
        <v>1.545041866239244E-2</v>
      </c>
      <c r="I55">
        <v>4.622068402693426E-4</v>
      </c>
      <c r="J55">
        <v>0.16664995944598729</v>
      </c>
      <c r="K55">
        <v>3.023402616402513</v>
      </c>
      <c r="L55">
        <v>1.406379814158441E-2</v>
      </c>
      <c r="M55">
        <v>9.2408939914307674E-3</v>
      </c>
      <c r="N55" t="s">
        <v>331</v>
      </c>
      <c r="O55" s="1">
        <v>39660</v>
      </c>
      <c r="P55">
        <v>0.36364448415727613</v>
      </c>
      <c r="Q55">
        <v>1.8182224207863811E-4</v>
      </c>
      <c r="R55">
        <v>-6.6208552869850557E-2</v>
      </c>
      <c r="S55">
        <v>-6.639037511192919E-2</v>
      </c>
      <c r="T55">
        <v>114</v>
      </c>
    </row>
    <row r="56" spans="1:20" x14ac:dyDescent="0.35">
      <c r="A56" s="1">
        <v>39660</v>
      </c>
      <c r="B56" t="s">
        <v>37</v>
      </c>
      <c r="C56" t="s">
        <v>332</v>
      </c>
      <c r="D56">
        <v>3.9933526431776157E-3</v>
      </c>
      <c r="E56" t="s">
        <v>56</v>
      </c>
      <c r="F56" t="s">
        <v>333</v>
      </c>
      <c r="G56" t="s">
        <v>334</v>
      </c>
      <c r="H56">
        <v>1.124648974567511E-2</v>
      </c>
      <c r="I56">
        <v>6.0407879490517909E-4</v>
      </c>
      <c r="J56">
        <v>-0.62217465508305447</v>
      </c>
      <c r="K56">
        <v>4.2139150312087006</v>
      </c>
      <c r="L56">
        <v>9.4342533609595731E-3</v>
      </c>
      <c r="M56">
        <v>5.4409007177819574E-3</v>
      </c>
      <c r="N56" t="s">
        <v>335</v>
      </c>
      <c r="O56" s="1">
        <v>39691</v>
      </c>
      <c r="P56">
        <v>5.7771936334505947E-2</v>
      </c>
      <c r="Q56">
        <v>2.8885968167252971E-5</v>
      </c>
      <c r="R56">
        <v>1.133510533386059E-2</v>
      </c>
      <c r="S56">
        <v>1.1306219365693339E-2</v>
      </c>
      <c r="T56">
        <v>115</v>
      </c>
    </row>
    <row r="57" spans="1:20" x14ac:dyDescent="0.35">
      <c r="A57" s="1">
        <v>39691</v>
      </c>
      <c r="B57" t="s">
        <v>37</v>
      </c>
      <c r="C57" t="s">
        <v>336</v>
      </c>
      <c r="D57">
        <v>2.7356442293544692E-3</v>
      </c>
      <c r="E57" t="s">
        <v>56</v>
      </c>
      <c r="F57" t="s">
        <v>337</v>
      </c>
      <c r="G57" t="s">
        <v>338</v>
      </c>
      <c r="H57">
        <v>9.6449096733654208E-3</v>
      </c>
      <c r="I57">
        <v>5.4115342862517642E-4</v>
      </c>
      <c r="J57">
        <v>-0.35881360903592302</v>
      </c>
      <c r="K57">
        <v>3.7760860494743289</v>
      </c>
      <c r="L57">
        <v>8.0214493874898908E-3</v>
      </c>
      <c r="M57">
        <v>5.2858051581354216E-3</v>
      </c>
      <c r="N57" t="s">
        <v>339</v>
      </c>
      <c r="O57" s="1">
        <v>39721</v>
      </c>
      <c r="P57">
        <v>6.4817472431657253E-2</v>
      </c>
      <c r="Q57">
        <v>3.2408736215828629E-5</v>
      </c>
      <c r="R57">
        <v>-7.6165033835743842E-2</v>
      </c>
      <c r="S57">
        <v>-7.6197442571959664E-2</v>
      </c>
      <c r="T57">
        <v>116</v>
      </c>
    </row>
    <row r="58" spans="1:20" x14ac:dyDescent="0.35">
      <c r="A58" s="1">
        <v>39721</v>
      </c>
      <c r="B58" t="s">
        <v>37</v>
      </c>
      <c r="C58" t="s">
        <v>340</v>
      </c>
      <c r="D58">
        <v>4.0008261499150767E-3</v>
      </c>
      <c r="E58" t="s">
        <v>56</v>
      </c>
      <c r="F58" t="s">
        <v>341</v>
      </c>
      <c r="G58" t="s">
        <v>342</v>
      </c>
      <c r="H58">
        <v>1.1317546197022001E-2</v>
      </c>
      <c r="I58">
        <v>6.4056133243794945E-4</v>
      </c>
      <c r="J58">
        <v>-0.76682403081350692</v>
      </c>
      <c r="K58">
        <v>4.7697997646330998</v>
      </c>
      <c r="L58">
        <v>9.3958621997081507E-3</v>
      </c>
      <c r="M58">
        <v>5.3950360497930739E-3</v>
      </c>
      <c r="N58" t="s">
        <v>343</v>
      </c>
      <c r="O58" s="1">
        <v>39752</v>
      </c>
      <c r="P58">
        <v>0.1245440804177239</v>
      </c>
      <c r="Q58">
        <v>6.2272040208861959E-5</v>
      </c>
      <c r="R58">
        <v>-0.11756966062332939</v>
      </c>
      <c r="S58">
        <v>-0.1176319326635383</v>
      </c>
      <c r="T58">
        <v>117</v>
      </c>
    </row>
    <row r="59" spans="1:20" x14ac:dyDescent="0.35">
      <c r="A59" s="1">
        <v>39752</v>
      </c>
      <c r="B59" t="s">
        <v>37</v>
      </c>
      <c r="C59" t="s">
        <v>344</v>
      </c>
      <c r="D59">
        <v>-3.5805367347072599E-3</v>
      </c>
      <c r="E59" t="s">
        <v>115</v>
      </c>
      <c r="F59" t="s">
        <v>345</v>
      </c>
      <c r="G59" t="s">
        <v>346</v>
      </c>
      <c r="H59">
        <v>4.3150130249566309E-3</v>
      </c>
      <c r="I59">
        <v>6.0161819603963933E-4</v>
      </c>
      <c r="J59">
        <v>-2.303483275146271</v>
      </c>
      <c r="K59">
        <v>13.077932711371121</v>
      </c>
      <c r="L59">
        <v>2.5101584368377129E-3</v>
      </c>
      <c r="M59">
        <v>6.0906951715449728E-3</v>
      </c>
      <c r="N59" t="s">
        <v>347</v>
      </c>
      <c r="O59" s="1">
        <v>39782</v>
      </c>
      <c r="P59">
        <v>0.60010668574026327</v>
      </c>
      <c r="Q59">
        <v>3.0005334287013159E-4</v>
      </c>
      <c r="R59">
        <v>7.7623677982425103E-3</v>
      </c>
      <c r="S59">
        <v>7.462314455372379E-3</v>
      </c>
      <c r="T59">
        <v>118</v>
      </c>
    </row>
    <row r="60" spans="1:20" x14ac:dyDescent="0.35">
      <c r="A60" s="1">
        <v>39782</v>
      </c>
      <c r="B60" t="s">
        <v>37</v>
      </c>
      <c r="C60" t="s">
        <v>348</v>
      </c>
      <c r="D60">
        <v>-1.203875685354772E-2</v>
      </c>
      <c r="E60" t="s">
        <v>81</v>
      </c>
      <c r="F60" t="s">
        <v>349</v>
      </c>
      <c r="G60" t="s">
        <v>350</v>
      </c>
      <c r="H60">
        <v>1.3987023243578389E-3</v>
      </c>
      <c r="I60">
        <v>1.355861048405863E-3</v>
      </c>
      <c r="J60">
        <v>-1.531442337529801</v>
      </c>
      <c r="K60">
        <v>6.6744449022107801</v>
      </c>
      <c r="L60">
        <v>-2.668880820859748E-3</v>
      </c>
      <c r="M60">
        <v>9.3698760326879679E-3</v>
      </c>
      <c r="N60" t="s">
        <v>351</v>
      </c>
      <c r="O60" s="1">
        <v>39813</v>
      </c>
      <c r="P60">
        <v>0.63315548766104846</v>
      </c>
      <c r="Q60">
        <v>3.1657774383052421E-4</v>
      </c>
      <c r="R60">
        <v>5.3968908472309139E-2</v>
      </c>
      <c r="S60">
        <v>5.3652330728478623E-2</v>
      </c>
      <c r="T60">
        <v>119</v>
      </c>
    </row>
    <row r="61" spans="1:20" x14ac:dyDescent="0.35">
      <c r="A61" s="1">
        <v>39813</v>
      </c>
      <c r="B61" t="s">
        <v>37</v>
      </c>
      <c r="C61" t="s">
        <v>352</v>
      </c>
      <c r="D61">
        <v>-8.4262430586344479E-3</v>
      </c>
      <c r="E61" t="s">
        <v>81</v>
      </c>
      <c r="F61" t="s">
        <v>353</v>
      </c>
      <c r="G61" t="s">
        <v>354</v>
      </c>
      <c r="H61">
        <v>3.984330127194808E-3</v>
      </c>
      <c r="I61">
        <v>1.484142953851131E-3</v>
      </c>
      <c r="J61">
        <v>-1.41305653904117</v>
      </c>
      <c r="K61">
        <v>6.0933814228056704</v>
      </c>
      <c r="L61">
        <v>-4.6809873435858622E-4</v>
      </c>
      <c r="M61">
        <v>7.9581443242758617E-3</v>
      </c>
      <c r="N61" t="s">
        <v>355</v>
      </c>
      <c r="O61" s="1">
        <v>39844</v>
      </c>
      <c r="P61">
        <v>1.214260694770708E-6</v>
      </c>
      <c r="Q61">
        <v>6.0713034738535401E-10</v>
      </c>
      <c r="R61">
        <v>-1.327136941177322E-2</v>
      </c>
      <c r="S61">
        <v>-1.3271370018903571E-2</v>
      </c>
      <c r="T61">
        <v>120</v>
      </c>
    </row>
    <row r="62" spans="1:20" x14ac:dyDescent="0.35">
      <c r="A62" s="1">
        <v>39844</v>
      </c>
      <c r="B62" t="s">
        <v>37</v>
      </c>
      <c r="C62" t="s">
        <v>356</v>
      </c>
      <c r="D62">
        <v>-1.294385725988219E-2</v>
      </c>
      <c r="E62" t="s">
        <v>81</v>
      </c>
      <c r="F62" t="s">
        <v>357</v>
      </c>
      <c r="G62" t="s">
        <v>358</v>
      </c>
      <c r="H62">
        <v>3.1279418216109459E-3</v>
      </c>
      <c r="I62">
        <v>1.4690205894239809E-3</v>
      </c>
      <c r="J62">
        <v>-1.3544119312894509</v>
      </c>
      <c r="K62">
        <v>6.0132426430370689</v>
      </c>
      <c r="L62">
        <v>-1.2791199466609981E-3</v>
      </c>
      <c r="M62">
        <v>1.166473731322119E-2</v>
      </c>
      <c r="N62" t="s">
        <v>359</v>
      </c>
      <c r="O62" s="1">
        <v>39872</v>
      </c>
      <c r="P62">
        <v>1.2470456290936129E-6</v>
      </c>
      <c r="Q62">
        <v>6.2352281454680642E-10</v>
      </c>
      <c r="R62">
        <v>-1.9319460109426281E-2</v>
      </c>
      <c r="S62">
        <v>-1.931946073294909E-2</v>
      </c>
      <c r="T62">
        <v>121</v>
      </c>
    </row>
    <row r="63" spans="1:20" x14ac:dyDescent="0.35">
      <c r="A63" s="1">
        <v>39872</v>
      </c>
      <c r="B63" t="s">
        <v>37</v>
      </c>
      <c r="C63" t="s">
        <v>360</v>
      </c>
      <c r="D63">
        <v>-1.738141262823846E-2</v>
      </c>
      <c r="E63" t="s">
        <v>81</v>
      </c>
      <c r="F63" t="s">
        <v>361</v>
      </c>
      <c r="G63" t="s">
        <v>362</v>
      </c>
      <c r="H63">
        <v>1.8402991279727651E-3</v>
      </c>
      <c r="I63">
        <v>1.4656151604228781E-3</v>
      </c>
      <c r="J63">
        <v>-1.252517354239671</v>
      </c>
      <c r="K63">
        <v>5.7894416700741402</v>
      </c>
      <c r="L63">
        <v>-2.5565463532958689E-3</v>
      </c>
      <c r="M63">
        <v>1.482486627494259E-2</v>
      </c>
      <c r="N63" t="s">
        <v>363</v>
      </c>
      <c r="O63" s="1">
        <v>39903</v>
      </c>
      <c r="P63">
        <v>3.05311331771918E-13</v>
      </c>
      <c r="Q63">
        <v>1.52655665885959E-16</v>
      </c>
      <c r="R63">
        <v>2.095801012635079E-2</v>
      </c>
      <c r="S63">
        <v>2.0958010126350641E-2</v>
      </c>
      <c r="T63">
        <v>122</v>
      </c>
    </row>
    <row r="64" spans="1:20" x14ac:dyDescent="0.35">
      <c r="A64" s="1">
        <v>39903</v>
      </c>
      <c r="B64" t="s">
        <v>37</v>
      </c>
      <c r="C64" t="s">
        <v>364</v>
      </c>
      <c r="D64">
        <v>-1.4524328523082469E-2</v>
      </c>
      <c r="E64" t="s">
        <v>81</v>
      </c>
      <c r="F64" t="s">
        <v>365</v>
      </c>
      <c r="G64" t="s">
        <v>366</v>
      </c>
      <c r="H64">
        <v>2.399659301949486E-3</v>
      </c>
      <c r="I64">
        <v>1.443131084194982E-3</v>
      </c>
      <c r="J64">
        <v>-1.3095946748774929</v>
      </c>
      <c r="K64">
        <v>5.9622777780256921</v>
      </c>
      <c r="L64">
        <v>-1.92973395063546E-3</v>
      </c>
      <c r="M64">
        <v>1.2594594572447011E-2</v>
      </c>
      <c r="N64" t="s">
        <v>367</v>
      </c>
      <c r="O64" s="1">
        <v>39933</v>
      </c>
      <c r="P64">
        <v>0.79999999756771811</v>
      </c>
      <c r="Q64">
        <v>3.9999999878385912E-4</v>
      </c>
      <c r="R64">
        <v>4.4684196987042457E-2</v>
      </c>
      <c r="S64">
        <v>4.4284196988258598E-2</v>
      </c>
      <c r="T64">
        <v>123</v>
      </c>
    </row>
    <row r="65" spans="1:20" x14ac:dyDescent="0.35">
      <c r="A65" s="1">
        <v>39933</v>
      </c>
      <c r="B65" t="s">
        <v>37</v>
      </c>
      <c r="C65" t="s">
        <v>368</v>
      </c>
      <c r="D65">
        <v>-1.2066753835883961E-2</v>
      </c>
      <c r="E65" t="s">
        <v>81</v>
      </c>
      <c r="F65" t="s">
        <v>369</v>
      </c>
      <c r="G65" t="s">
        <v>370</v>
      </c>
      <c r="H65">
        <v>2.5948377438899869E-3</v>
      </c>
      <c r="I65">
        <v>1.370396403319919E-3</v>
      </c>
      <c r="J65">
        <v>-1.3554001329473551</v>
      </c>
      <c r="K65">
        <v>6.4474096038299056</v>
      </c>
      <c r="L65">
        <v>-1.51635146606977E-3</v>
      </c>
      <c r="M65">
        <v>1.055040236981418E-2</v>
      </c>
      <c r="N65" t="s">
        <v>371</v>
      </c>
      <c r="O65" s="1">
        <v>39964</v>
      </c>
      <c r="P65">
        <v>2.4319653046727879E-9</v>
      </c>
      <c r="Q65">
        <v>1.215982652336394E-12</v>
      </c>
      <c r="R65">
        <v>2.4762573659600339E-2</v>
      </c>
      <c r="S65">
        <v>2.476257365838436E-2</v>
      </c>
      <c r="T65">
        <v>124</v>
      </c>
    </row>
    <row r="66" spans="1:20" x14ac:dyDescent="0.35">
      <c r="A66" s="1">
        <v>39964</v>
      </c>
      <c r="B66" t="s">
        <v>37</v>
      </c>
      <c r="C66" t="s">
        <v>372</v>
      </c>
      <c r="D66">
        <v>1.5525440794331611E-3</v>
      </c>
      <c r="E66" t="s">
        <v>115</v>
      </c>
      <c r="F66" t="s">
        <v>373</v>
      </c>
      <c r="G66" t="s">
        <v>374</v>
      </c>
      <c r="H66">
        <v>7.7492368403619828E-3</v>
      </c>
      <c r="I66">
        <v>7.2402122666268866E-4</v>
      </c>
      <c r="J66">
        <v>-1.7204594532755551</v>
      </c>
      <c r="K66">
        <v>8.9317966118920005</v>
      </c>
      <c r="L66">
        <v>5.5771731603739168E-3</v>
      </c>
      <c r="M66">
        <v>4.0246290809407559E-3</v>
      </c>
      <c r="N66" t="s">
        <v>375</v>
      </c>
      <c r="O66" s="1">
        <v>39994</v>
      </c>
      <c r="P66">
        <v>0.4</v>
      </c>
      <c r="Q66">
        <v>2.0000000000000001E-4</v>
      </c>
      <c r="R66">
        <v>-1.4019061838213311E-2</v>
      </c>
      <c r="S66">
        <v>-1.4219061838213309E-2</v>
      </c>
      <c r="T66">
        <v>125</v>
      </c>
    </row>
    <row r="67" spans="1:20" x14ac:dyDescent="0.35">
      <c r="A67" s="1">
        <v>39994</v>
      </c>
      <c r="B67" t="s">
        <v>37</v>
      </c>
      <c r="C67" t="s">
        <v>376</v>
      </c>
      <c r="D67">
        <v>4.0020396442230511E-4</v>
      </c>
      <c r="E67" t="s">
        <v>115</v>
      </c>
      <c r="F67" t="s">
        <v>377</v>
      </c>
      <c r="G67" t="s">
        <v>378</v>
      </c>
      <c r="H67">
        <v>5.6970602518328249E-3</v>
      </c>
      <c r="I67">
        <v>3.6360983045437902E-4</v>
      </c>
      <c r="J67">
        <v>-0.50016876063799509</v>
      </c>
      <c r="K67">
        <v>4.6601469687520289</v>
      </c>
      <c r="L67">
        <v>4.6062307604696883E-3</v>
      </c>
      <c r="M67">
        <v>4.2060267960473833E-3</v>
      </c>
      <c r="N67" t="s">
        <v>379</v>
      </c>
      <c r="O67" s="1">
        <v>40025</v>
      </c>
      <c r="P67">
        <v>7.9473479023737855E-3</v>
      </c>
      <c r="Q67">
        <v>3.9736739511868934E-6</v>
      </c>
      <c r="R67">
        <v>4.2954825230124873E-2</v>
      </c>
      <c r="S67">
        <v>4.2950851556173682E-2</v>
      </c>
      <c r="T67">
        <v>126</v>
      </c>
    </row>
    <row r="68" spans="1:20" x14ac:dyDescent="0.35">
      <c r="A68" s="1">
        <v>40025</v>
      </c>
      <c r="B68" t="s">
        <v>37</v>
      </c>
      <c r="C68" t="s">
        <v>380</v>
      </c>
      <c r="D68">
        <v>1.0050166594562839E-3</v>
      </c>
      <c r="E68" t="s">
        <v>115</v>
      </c>
      <c r="F68" t="s">
        <v>381</v>
      </c>
      <c r="G68" t="s">
        <v>382</v>
      </c>
      <c r="H68">
        <v>6.0890529158843174E-3</v>
      </c>
      <c r="I68">
        <v>5.7643611443359069E-4</v>
      </c>
      <c r="J68">
        <v>-1.4791030565791869</v>
      </c>
      <c r="K68">
        <v>8.7191243403263616</v>
      </c>
      <c r="L68">
        <v>4.3597445725835453E-3</v>
      </c>
      <c r="M68">
        <v>3.3547279131272609E-3</v>
      </c>
      <c r="N68" t="s">
        <v>383</v>
      </c>
      <c r="O68" s="1">
        <v>40056</v>
      </c>
      <c r="P68">
        <v>1.196825439271466E-2</v>
      </c>
      <c r="Q68">
        <v>5.9841271963573319E-6</v>
      </c>
      <c r="R68">
        <v>2.0171531558809731E-2</v>
      </c>
      <c r="S68">
        <v>2.0165547431613369E-2</v>
      </c>
      <c r="T68">
        <v>127</v>
      </c>
    </row>
    <row r="69" spans="1:20" x14ac:dyDescent="0.35">
      <c r="A69" s="1">
        <v>40056</v>
      </c>
      <c r="B69" t="s">
        <v>37</v>
      </c>
      <c r="C69" t="s">
        <v>384</v>
      </c>
      <c r="D69">
        <v>1.7294408268369219E-3</v>
      </c>
      <c r="E69" t="s">
        <v>115</v>
      </c>
      <c r="F69" t="s">
        <v>385</v>
      </c>
      <c r="G69" t="s">
        <v>386</v>
      </c>
      <c r="H69">
        <v>6.383520388280218E-3</v>
      </c>
      <c r="I69">
        <v>4.2937432191797958E-4</v>
      </c>
      <c r="J69">
        <v>-0.60528628167548904</v>
      </c>
      <c r="K69">
        <v>4.2586851173677864</v>
      </c>
      <c r="L69">
        <v>5.0953974225262794E-3</v>
      </c>
      <c r="M69">
        <v>3.365956595689357E-3</v>
      </c>
      <c r="N69" t="s">
        <v>387</v>
      </c>
      <c r="O69" s="1">
        <v>40086</v>
      </c>
      <c r="P69">
        <v>0.1098677160115937</v>
      </c>
      <c r="Q69">
        <v>5.4933858005796868E-5</v>
      </c>
      <c r="R69">
        <v>3.1812312504550043E-2</v>
      </c>
      <c r="S69">
        <v>3.1757378646544238E-2</v>
      </c>
      <c r="T69">
        <v>128</v>
      </c>
    </row>
    <row r="70" spans="1:20" x14ac:dyDescent="0.35">
      <c r="A70" s="1">
        <v>40086</v>
      </c>
      <c r="B70" t="s">
        <v>37</v>
      </c>
      <c r="C70" t="s">
        <v>388</v>
      </c>
      <c r="D70">
        <v>2.0765050929140009E-3</v>
      </c>
      <c r="E70" t="s">
        <v>115</v>
      </c>
      <c r="F70" t="s">
        <v>389</v>
      </c>
      <c r="G70" t="s">
        <v>390</v>
      </c>
      <c r="H70">
        <v>6.3912182584240614E-3</v>
      </c>
      <c r="I70">
        <v>3.8303653469653099E-4</v>
      </c>
      <c r="J70">
        <v>-0.45824341235056781</v>
      </c>
      <c r="K70">
        <v>4.2799363694977606</v>
      </c>
      <c r="L70">
        <v>5.2421086543344673E-3</v>
      </c>
      <c r="M70">
        <v>3.165603561420466E-3</v>
      </c>
      <c r="N70" t="s">
        <v>391</v>
      </c>
      <c r="O70" s="1">
        <v>40117</v>
      </c>
      <c r="P70">
        <v>9.8001671927276476E-2</v>
      </c>
      <c r="Q70">
        <v>4.9000835963638243E-5</v>
      </c>
      <c r="R70">
        <v>-2.8174448856415932E-3</v>
      </c>
      <c r="S70">
        <v>-2.8664457216052309E-3</v>
      </c>
      <c r="T70">
        <v>129</v>
      </c>
    </row>
    <row r="71" spans="1:20" x14ac:dyDescent="0.35">
      <c r="A71" s="1">
        <v>40117</v>
      </c>
      <c r="B71" t="s">
        <v>37</v>
      </c>
      <c r="C71" t="s">
        <v>392</v>
      </c>
      <c r="D71">
        <v>5.0632245207734242E-3</v>
      </c>
      <c r="E71" t="s">
        <v>56</v>
      </c>
      <c r="F71" t="s">
        <v>393</v>
      </c>
      <c r="G71" t="s">
        <v>394</v>
      </c>
      <c r="H71">
        <v>9.8469611490901651E-3</v>
      </c>
      <c r="I71">
        <v>7.2387033310929551E-4</v>
      </c>
      <c r="J71">
        <v>-0.86962539786484894</v>
      </c>
      <c r="K71">
        <v>4.2717292531421132</v>
      </c>
      <c r="L71">
        <v>7.6753501497622782E-3</v>
      </c>
      <c r="M71">
        <v>2.6121256289888539E-3</v>
      </c>
      <c r="N71" t="s">
        <v>395</v>
      </c>
      <c r="O71" s="1">
        <v>40147</v>
      </c>
      <c r="P71">
        <v>0.4080495676650151</v>
      </c>
      <c r="Q71">
        <v>2.040247838325076E-4</v>
      </c>
      <c r="R71">
        <v>3.1252502596345877E-2</v>
      </c>
      <c r="S71">
        <v>3.104847781251337E-2</v>
      </c>
      <c r="T71">
        <v>130</v>
      </c>
    </row>
    <row r="72" spans="1:20" x14ac:dyDescent="0.35">
      <c r="A72" s="1">
        <v>40147</v>
      </c>
      <c r="B72" t="s">
        <v>37</v>
      </c>
      <c r="C72" t="s">
        <v>396</v>
      </c>
      <c r="D72">
        <v>2.075289045842994E-3</v>
      </c>
      <c r="E72" t="s">
        <v>115</v>
      </c>
      <c r="F72" t="s">
        <v>397</v>
      </c>
      <c r="G72" t="s">
        <v>398</v>
      </c>
      <c r="H72">
        <v>6.8471647557668894E-3</v>
      </c>
      <c r="I72">
        <v>3.9162278874831042E-4</v>
      </c>
      <c r="J72">
        <v>-0.10611982815965371</v>
      </c>
      <c r="K72">
        <v>4.1498981432883566</v>
      </c>
      <c r="L72">
        <v>5.6722963895219584E-3</v>
      </c>
      <c r="M72">
        <v>3.5970073436789639E-3</v>
      </c>
      <c r="N72" t="s">
        <v>399</v>
      </c>
      <c r="O72" s="1">
        <v>40178</v>
      </c>
      <c r="P72">
        <v>0.50607310881713019</v>
      </c>
      <c r="Q72">
        <v>2.5303655440856511E-4</v>
      </c>
      <c r="R72">
        <v>-7.6450796219987224E-3</v>
      </c>
      <c r="S72">
        <v>-7.8981161764072882E-3</v>
      </c>
      <c r="T72">
        <v>131</v>
      </c>
    </row>
    <row r="73" spans="1:20" x14ac:dyDescent="0.35">
      <c r="A73" s="1">
        <v>40178</v>
      </c>
      <c r="B73" t="s">
        <v>37</v>
      </c>
      <c r="C73" t="s">
        <v>400</v>
      </c>
      <c r="D73">
        <v>1.52828926022806E-3</v>
      </c>
      <c r="E73" t="s">
        <v>115</v>
      </c>
      <c r="F73" t="s">
        <v>401</v>
      </c>
      <c r="G73" t="s">
        <v>402</v>
      </c>
      <c r="H73">
        <v>6.3638793536253627E-3</v>
      </c>
      <c r="I73">
        <v>4.3322972777221162E-4</v>
      </c>
      <c r="J73">
        <v>-0.28861833100257012</v>
      </c>
      <c r="K73">
        <v>3.8070980291182108</v>
      </c>
      <c r="L73">
        <v>5.0641901703087286E-3</v>
      </c>
      <c r="M73">
        <v>3.5359009100806691E-3</v>
      </c>
      <c r="N73" t="s">
        <v>403</v>
      </c>
      <c r="O73" s="1">
        <v>40209</v>
      </c>
      <c r="P73">
        <v>9.8048386407418253E-2</v>
      </c>
      <c r="Q73">
        <v>4.9024193203709118E-5</v>
      </c>
      <c r="R73">
        <v>-1.465575734344253E-2</v>
      </c>
      <c r="S73">
        <v>-1.470478153664624E-2</v>
      </c>
      <c r="T73">
        <v>132</v>
      </c>
    </row>
    <row r="74" spans="1:20" x14ac:dyDescent="0.35">
      <c r="A74" s="1">
        <v>40209</v>
      </c>
      <c r="B74" t="s">
        <v>37</v>
      </c>
      <c r="C74" t="s">
        <v>404</v>
      </c>
      <c r="D74">
        <v>4.9954758363528274E-3</v>
      </c>
      <c r="E74" t="s">
        <v>405</v>
      </c>
      <c r="F74" t="s">
        <v>406</v>
      </c>
      <c r="G74" t="s">
        <v>407</v>
      </c>
      <c r="H74">
        <v>8.8314533452310915E-3</v>
      </c>
      <c r="I74">
        <v>5.552188992143627E-4</v>
      </c>
      <c r="J74">
        <v>-0.69380517928730179</v>
      </c>
      <c r="K74">
        <v>4.1689942906997697</v>
      </c>
      <c r="L74">
        <v>7.1657966475880044E-3</v>
      </c>
      <c r="M74">
        <v>2.1703208112351761E-3</v>
      </c>
      <c r="N74" t="s">
        <v>408</v>
      </c>
      <c r="O74" s="1">
        <v>40237</v>
      </c>
      <c r="P74">
        <v>0.40802472243484289</v>
      </c>
      <c r="Q74">
        <v>2.040123612174215E-4</v>
      </c>
      <c r="R74">
        <v>2.2826540125066699E-2</v>
      </c>
      <c r="S74">
        <v>2.2622527763849279E-2</v>
      </c>
      <c r="T74">
        <v>133</v>
      </c>
    </row>
    <row r="75" spans="1:20" x14ac:dyDescent="0.35">
      <c r="A75" s="1">
        <v>40237</v>
      </c>
      <c r="B75" t="s">
        <v>37</v>
      </c>
      <c r="C75" t="s">
        <v>409</v>
      </c>
      <c r="D75">
        <v>1.8032468608949811E-3</v>
      </c>
      <c r="E75" t="s">
        <v>115</v>
      </c>
      <c r="F75" t="s">
        <v>410</v>
      </c>
      <c r="G75" t="s">
        <v>411</v>
      </c>
      <c r="H75">
        <v>6.4007196475188068E-3</v>
      </c>
      <c r="I75">
        <v>4.4905042600388852E-4</v>
      </c>
      <c r="J75">
        <v>8.3892077128252085E-2</v>
      </c>
      <c r="K75">
        <v>3.8362010115192389</v>
      </c>
      <c r="L75">
        <v>5.0535683695071424E-3</v>
      </c>
      <c r="M75">
        <v>3.2503215086121598E-3</v>
      </c>
      <c r="N75" t="s">
        <v>412</v>
      </c>
      <c r="O75" s="1">
        <v>40268</v>
      </c>
      <c r="P75">
        <v>0.70202218965212915</v>
      </c>
      <c r="Q75">
        <v>3.5101109482606462E-4</v>
      </c>
      <c r="R75">
        <v>2.8511272358838598E-2</v>
      </c>
      <c r="S75">
        <v>2.816026126401254E-2</v>
      </c>
      <c r="T75">
        <v>134</v>
      </c>
    </row>
    <row r="76" spans="1:20" x14ac:dyDescent="0.35">
      <c r="A76" s="1">
        <v>40268</v>
      </c>
      <c r="B76" t="s">
        <v>37</v>
      </c>
      <c r="C76" t="s">
        <v>413</v>
      </c>
      <c r="D76">
        <v>4.7373881633409583E-3</v>
      </c>
      <c r="E76" t="s">
        <v>124</v>
      </c>
      <c r="F76" t="s">
        <v>414</v>
      </c>
      <c r="G76" t="s">
        <v>415</v>
      </c>
      <c r="H76">
        <v>8.1535524598086283E-3</v>
      </c>
      <c r="I76">
        <v>4.4621973104292561E-4</v>
      </c>
      <c r="J76">
        <v>0.38041463093673761</v>
      </c>
      <c r="K76">
        <v>4.242980591635555</v>
      </c>
      <c r="L76">
        <v>6.8148932666798516E-3</v>
      </c>
      <c r="M76">
        <v>2.0775051033388929E-3</v>
      </c>
      <c r="N76" t="s">
        <v>416</v>
      </c>
      <c r="O76" s="1">
        <v>40298</v>
      </c>
      <c r="P76">
        <v>0.49998538012355748</v>
      </c>
      <c r="Q76">
        <v>2.4999269006177881E-4</v>
      </c>
      <c r="R76">
        <v>1.254158666901135E-2</v>
      </c>
      <c r="S76">
        <v>1.2291593978949571E-2</v>
      </c>
      <c r="T76">
        <v>135</v>
      </c>
    </row>
    <row r="77" spans="1:20" x14ac:dyDescent="0.35">
      <c r="A77" s="1">
        <v>40298</v>
      </c>
      <c r="B77" t="s">
        <v>37</v>
      </c>
      <c r="C77" t="s">
        <v>417</v>
      </c>
      <c r="D77">
        <v>6.3045291382196646E-3</v>
      </c>
      <c r="E77" t="s">
        <v>405</v>
      </c>
      <c r="F77" t="s">
        <v>418</v>
      </c>
      <c r="G77" t="s">
        <v>419</v>
      </c>
      <c r="H77">
        <v>9.5887519617970911E-3</v>
      </c>
      <c r="I77">
        <v>4.5437904328005091E-4</v>
      </c>
      <c r="J77">
        <v>-0.66939158394713738</v>
      </c>
      <c r="K77">
        <v>5.7602618899420097</v>
      </c>
      <c r="L77">
        <v>8.2256148319569383E-3</v>
      </c>
      <c r="M77">
        <v>1.921085693737273E-3</v>
      </c>
      <c r="N77" t="s">
        <v>420</v>
      </c>
      <c r="O77" s="1">
        <v>40329</v>
      </c>
      <c r="P77">
        <v>0.75603982840178119</v>
      </c>
      <c r="Q77">
        <v>3.7801991420089061E-4</v>
      </c>
      <c r="R77">
        <v>-4.7235398097644397E-2</v>
      </c>
      <c r="S77">
        <v>-4.7613418011845293E-2</v>
      </c>
      <c r="T77">
        <v>136</v>
      </c>
    </row>
    <row r="78" spans="1:20" x14ac:dyDescent="0.35">
      <c r="A78" s="1">
        <v>40329</v>
      </c>
      <c r="B78" t="s">
        <v>37</v>
      </c>
      <c r="C78" t="s">
        <v>421</v>
      </c>
      <c r="D78">
        <v>1.2155480227050591E-3</v>
      </c>
      <c r="E78" t="s">
        <v>81</v>
      </c>
      <c r="F78" t="s">
        <v>422</v>
      </c>
      <c r="G78" t="s">
        <v>423</v>
      </c>
      <c r="H78">
        <v>8.0254249711055811E-3</v>
      </c>
      <c r="I78">
        <v>6.6485163087663082E-4</v>
      </c>
      <c r="J78">
        <v>-0.70270905790742788</v>
      </c>
      <c r="K78">
        <v>6.5770230698277858</v>
      </c>
      <c r="L78">
        <v>6.0308700784756884E-3</v>
      </c>
      <c r="M78">
        <v>4.8153220557706298E-3</v>
      </c>
      <c r="N78" t="s">
        <v>424</v>
      </c>
      <c r="O78" s="1">
        <v>40359</v>
      </c>
      <c r="P78">
        <v>0.7560398284017813</v>
      </c>
      <c r="Q78">
        <v>3.7801991420089072E-4</v>
      </c>
      <c r="R78">
        <v>-1.521512754304972E-2</v>
      </c>
      <c r="S78">
        <v>-1.5593147457250611E-2</v>
      </c>
      <c r="T78">
        <v>137</v>
      </c>
    </row>
    <row r="79" spans="1:20" x14ac:dyDescent="0.35">
      <c r="A79" s="1">
        <v>40359</v>
      </c>
      <c r="B79" t="s">
        <v>37</v>
      </c>
      <c r="C79" t="s">
        <v>425</v>
      </c>
      <c r="D79">
        <v>-6.521410935860947E-3</v>
      </c>
      <c r="E79" t="s">
        <v>81</v>
      </c>
      <c r="F79" t="s">
        <v>426</v>
      </c>
      <c r="G79" t="s">
        <v>427</v>
      </c>
      <c r="H79">
        <v>6.2684159322685604E-3</v>
      </c>
      <c r="I79">
        <v>1.0240017500254071E-3</v>
      </c>
      <c r="J79">
        <v>-1.269670366130655</v>
      </c>
      <c r="K79">
        <v>7.2856657866096786</v>
      </c>
      <c r="L79">
        <v>3.196410682192338E-3</v>
      </c>
      <c r="M79">
        <v>9.7178216180532854E-3</v>
      </c>
      <c r="N79" t="s">
        <v>428</v>
      </c>
      <c r="O79" s="1">
        <v>40390</v>
      </c>
      <c r="P79">
        <v>2.20191200995104E-2</v>
      </c>
      <c r="Q79">
        <v>1.1009560049755199E-5</v>
      </c>
      <c r="R79">
        <v>3.6859359122786747E-2</v>
      </c>
      <c r="S79">
        <v>3.6848349562736991E-2</v>
      </c>
      <c r="T79">
        <v>138</v>
      </c>
    </row>
    <row r="80" spans="1:20" x14ac:dyDescent="0.35">
      <c r="A80" s="1">
        <v>40390</v>
      </c>
      <c r="B80" t="s">
        <v>37</v>
      </c>
      <c r="C80" t="s">
        <v>429</v>
      </c>
      <c r="D80">
        <v>5.7482448304693691E-3</v>
      </c>
      <c r="E80" t="s">
        <v>430</v>
      </c>
      <c r="F80" t="s">
        <v>431</v>
      </c>
      <c r="G80" t="s">
        <v>432</v>
      </c>
      <c r="H80">
        <v>9.4990766194974641E-3</v>
      </c>
      <c r="I80">
        <v>6.4659948054451486E-4</v>
      </c>
      <c r="J80">
        <v>0.199477632404917</v>
      </c>
      <c r="K80">
        <v>5.1651084124299009</v>
      </c>
      <c r="L80">
        <v>7.5592781778639198E-3</v>
      </c>
      <c r="M80">
        <v>1.8110333473945509E-3</v>
      </c>
      <c r="N80" t="s">
        <v>433</v>
      </c>
      <c r="O80" s="1">
        <v>40421</v>
      </c>
      <c r="P80">
        <v>0.7504938716925742</v>
      </c>
      <c r="Q80">
        <v>3.7524693584628711E-4</v>
      </c>
      <c r="R80">
        <v>-1.6302967870516358E-2</v>
      </c>
      <c r="S80">
        <v>-1.667821480636265E-2</v>
      </c>
      <c r="T80">
        <v>139</v>
      </c>
    </row>
    <row r="81" spans="1:20" x14ac:dyDescent="0.35">
      <c r="A81" s="1">
        <v>40421</v>
      </c>
      <c r="B81" t="s">
        <v>37</v>
      </c>
      <c r="C81" t="s">
        <v>434</v>
      </c>
      <c r="D81">
        <v>-2.014785938526677E-2</v>
      </c>
      <c r="E81" t="s">
        <v>81</v>
      </c>
      <c r="F81" t="s">
        <v>435</v>
      </c>
      <c r="G81" t="s">
        <v>436</v>
      </c>
      <c r="H81">
        <v>1.7879433184713211E-3</v>
      </c>
      <c r="I81">
        <v>1.2030294953863511E-3</v>
      </c>
      <c r="J81">
        <v>-1.2406800809306731</v>
      </c>
      <c r="K81">
        <v>6.6850564452992129</v>
      </c>
      <c r="L81">
        <v>-1.821145167687731E-3</v>
      </c>
      <c r="M81">
        <v>1.8326714217579039E-2</v>
      </c>
      <c r="N81" t="s">
        <v>437</v>
      </c>
      <c r="O81" s="1">
        <v>40451</v>
      </c>
      <c r="P81">
        <v>0.7554136753391093</v>
      </c>
      <c r="Q81">
        <v>3.7770683766955471E-4</v>
      </c>
      <c r="R81">
        <v>3.7816753736466223E-2</v>
      </c>
      <c r="S81">
        <v>3.7439046898796673E-2</v>
      </c>
      <c r="T81">
        <v>140</v>
      </c>
    </row>
    <row r="82" spans="1:20" x14ac:dyDescent="0.35">
      <c r="A82" s="1">
        <v>40451</v>
      </c>
      <c r="B82" t="s">
        <v>37</v>
      </c>
      <c r="C82" t="s">
        <v>438</v>
      </c>
      <c r="D82">
        <v>6.1801929641201007E-3</v>
      </c>
      <c r="E82" t="s">
        <v>124</v>
      </c>
      <c r="F82" t="s">
        <v>439</v>
      </c>
      <c r="G82" t="s">
        <v>440</v>
      </c>
      <c r="H82">
        <v>1.048998976871383E-2</v>
      </c>
      <c r="I82">
        <v>6.8870454792251058E-4</v>
      </c>
      <c r="J82">
        <v>3.6262592344352307E-2</v>
      </c>
      <c r="K82">
        <v>4.7225213737969138</v>
      </c>
      <c r="L82">
        <v>8.4238761249462984E-3</v>
      </c>
      <c r="M82">
        <v>2.2436831608261981E-3</v>
      </c>
      <c r="N82" t="s">
        <v>441</v>
      </c>
      <c r="O82" s="1">
        <v>40482</v>
      </c>
      <c r="P82">
        <v>0.75534511097502921</v>
      </c>
      <c r="Q82">
        <v>3.7767255548751461E-4</v>
      </c>
      <c r="R82">
        <v>3.0475134615646309E-2</v>
      </c>
      <c r="S82">
        <v>3.009746206015879E-2</v>
      </c>
      <c r="T82">
        <v>141</v>
      </c>
    </row>
    <row r="83" spans="1:20" x14ac:dyDescent="0.35">
      <c r="A83" s="1">
        <v>40482</v>
      </c>
      <c r="B83" t="s">
        <v>37</v>
      </c>
      <c r="C83" t="s">
        <v>442</v>
      </c>
      <c r="D83">
        <v>6.6192277374627958E-3</v>
      </c>
      <c r="E83" t="s">
        <v>124</v>
      </c>
      <c r="F83" t="s">
        <v>443</v>
      </c>
      <c r="G83" t="s">
        <v>444</v>
      </c>
      <c r="H83">
        <v>1.047482259440837E-2</v>
      </c>
      <c r="I83">
        <v>5.833488057207575E-4</v>
      </c>
      <c r="J83">
        <v>0.1099640072517942</v>
      </c>
      <c r="K83">
        <v>3.8875644669535738</v>
      </c>
      <c r="L83">
        <v>8.7247761772460963E-3</v>
      </c>
      <c r="M83">
        <v>2.105548439783301E-3</v>
      </c>
      <c r="N83" t="s">
        <v>445</v>
      </c>
      <c r="O83" s="1">
        <v>40512</v>
      </c>
      <c r="P83">
        <v>0.13151910008598261</v>
      </c>
      <c r="Q83">
        <v>6.5759550042991289E-5</v>
      </c>
      <c r="R83">
        <v>-2.4017741423302351E-5</v>
      </c>
      <c r="S83">
        <v>-8.9777291466293637E-5</v>
      </c>
      <c r="T83">
        <v>142</v>
      </c>
    </row>
    <row r="84" spans="1:20" x14ac:dyDescent="0.35">
      <c r="A84" s="1">
        <v>40512</v>
      </c>
      <c r="B84" t="s">
        <v>37</v>
      </c>
      <c r="C84" t="s">
        <v>446</v>
      </c>
      <c r="D84">
        <v>6.1798172302278773E-3</v>
      </c>
      <c r="E84" t="s">
        <v>124</v>
      </c>
      <c r="F84" t="s">
        <v>447</v>
      </c>
      <c r="G84" t="s">
        <v>448</v>
      </c>
      <c r="H84">
        <v>9.874653432056334E-3</v>
      </c>
      <c r="I84">
        <v>5.7212094013245514E-4</v>
      </c>
      <c r="J84">
        <v>0.177797926713438</v>
      </c>
      <c r="K84">
        <v>3.994682248617627</v>
      </c>
      <c r="L84">
        <v>8.1582906116589686E-3</v>
      </c>
      <c r="M84">
        <v>1.9784733814310908E-3</v>
      </c>
      <c r="N84" t="s">
        <v>449</v>
      </c>
      <c r="O84" s="1">
        <v>40543</v>
      </c>
      <c r="P84">
        <v>8.7722069418754399E-4</v>
      </c>
      <c r="Q84">
        <v>4.3861034709377202E-7</v>
      </c>
      <c r="R84">
        <v>3.3942795105400832E-2</v>
      </c>
      <c r="S84">
        <v>3.3942356495053741E-2</v>
      </c>
      <c r="T84">
        <v>143</v>
      </c>
    </row>
    <row r="85" spans="1:20" x14ac:dyDescent="0.35">
      <c r="A85" s="1">
        <v>40543</v>
      </c>
      <c r="B85" t="s">
        <v>37</v>
      </c>
      <c r="C85" t="s">
        <v>450</v>
      </c>
      <c r="D85">
        <v>6.8244642202802078E-3</v>
      </c>
      <c r="E85" t="s">
        <v>225</v>
      </c>
      <c r="F85" t="s">
        <v>451</v>
      </c>
      <c r="G85" t="s">
        <v>452</v>
      </c>
      <c r="H85">
        <v>1.095400054978179E-2</v>
      </c>
      <c r="I85">
        <v>7.2499104111737656E-4</v>
      </c>
      <c r="J85">
        <v>-0.1523581987874747</v>
      </c>
      <c r="K85">
        <v>4.3377763087342798</v>
      </c>
      <c r="L85">
        <v>8.7790274264296642E-3</v>
      </c>
      <c r="M85">
        <v>1.9545632061494559E-3</v>
      </c>
      <c r="N85" t="s">
        <v>453</v>
      </c>
      <c r="O85" s="1">
        <v>40574</v>
      </c>
      <c r="P85">
        <v>0.18363200681028899</v>
      </c>
      <c r="Q85">
        <v>9.1816003405144496E-5</v>
      </c>
      <c r="R85">
        <v>1.2232707113659621E-2</v>
      </c>
      <c r="S85">
        <v>1.214089111025448E-2</v>
      </c>
      <c r="T85">
        <v>144</v>
      </c>
    </row>
    <row r="86" spans="1:20" x14ac:dyDescent="0.35">
      <c r="A86" s="1">
        <v>40574</v>
      </c>
      <c r="B86" t="s">
        <v>37</v>
      </c>
      <c r="C86" t="s">
        <v>454</v>
      </c>
      <c r="D86">
        <v>6.9116285409010656E-3</v>
      </c>
      <c r="E86" t="s">
        <v>405</v>
      </c>
      <c r="F86" t="s">
        <v>455</v>
      </c>
      <c r="G86" t="s">
        <v>456</v>
      </c>
      <c r="H86">
        <v>1.053700774742191E-2</v>
      </c>
      <c r="I86">
        <v>6.1348391555548284E-4</v>
      </c>
      <c r="J86">
        <v>-0.34585241459207311</v>
      </c>
      <c r="K86">
        <v>5.2717048776264219</v>
      </c>
      <c r="L86">
        <v>8.6965560007554645E-3</v>
      </c>
      <c r="M86">
        <v>1.7849274598543991E-3</v>
      </c>
      <c r="N86" t="s">
        <v>457</v>
      </c>
      <c r="O86" s="1">
        <v>40602</v>
      </c>
      <c r="P86">
        <v>0.55121723120979771</v>
      </c>
      <c r="Q86">
        <v>2.7560861560489892E-4</v>
      </c>
      <c r="R86">
        <v>1.9522680321810749E-2</v>
      </c>
      <c r="S86">
        <v>1.9247071706205848E-2</v>
      </c>
      <c r="T86">
        <v>145</v>
      </c>
    </row>
    <row r="87" spans="1:20" x14ac:dyDescent="0.35">
      <c r="A87" s="1">
        <v>40602</v>
      </c>
      <c r="B87" t="s">
        <v>37</v>
      </c>
      <c r="C87" t="s">
        <v>458</v>
      </c>
      <c r="D87">
        <v>6.5698299377809164E-3</v>
      </c>
      <c r="E87" t="s">
        <v>124</v>
      </c>
      <c r="F87" t="s">
        <v>459</v>
      </c>
      <c r="G87" t="s">
        <v>460</v>
      </c>
      <c r="H87">
        <v>1.0100181508445541E-2</v>
      </c>
      <c r="I87">
        <v>5.6260587866436001E-4</v>
      </c>
      <c r="J87">
        <v>0.1903032168833162</v>
      </c>
      <c r="K87">
        <v>3.9680076253235592</v>
      </c>
      <c r="L87">
        <v>8.4123638724524549E-3</v>
      </c>
      <c r="M87">
        <v>1.842533934671538E-3</v>
      </c>
      <c r="N87" t="s">
        <v>461</v>
      </c>
      <c r="O87" s="1">
        <v>40633</v>
      </c>
      <c r="P87">
        <v>0.73484923802008684</v>
      </c>
      <c r="Q87">
        <v>3.674246190100434E-4</v>
      </c>
      <c r="R87">
        <v>5.0302896558899312E-3</v>
      </c>
      <c r="S87">
        <v>4.6628650368798876E-3</v>
      </c>
      <c r="T87">
        <v>146</v>
      </c>
    </row>
    <row r="88" spans="1:20" x14ac:dyDescent="0.35">
      <c r="A88" s="1">
        <v>40633</v>
      </c>
      <c r="B88" t="s">
        <v>37</v>
      </c>
      <c r="C88" t="s">
        <v>462</v>
      </c>
      <c r="D88">
        <v>6.5400903330646368E-3</v>
      </c>
      <c r="E88" t="s">
        <v>124</v>
      </c>
      <c r="F88" t="s">
        <v>463</v>
      </c>
      <c r="G88" t="s">
        <v>464</v>
      </c>
      <c r="H88">
        <v>9.9729353075551936E-3</v>
      </c>
      <c r="I88">
        <v>5.661271661861558E-4</v>
      </c>
      <c r="J88">
        <v>0.17879464912030249</v>
      </c>
      <c r="K88">
        <v>4.0359314707813736</v>
      </c>
      <c r="L88">
        <v>8.274553808996726E-3</v>
      </c>
      <c r="M88">
        <v>1.734463475932089E-3</v>
      </c>
      <c r="N88" t="s">
        <v>465</v>
      </c>
      <c r="O88" s="1">
        <v>40663</v>
      </c>
      <c r="P88">
        <v>2.2702064297607039E-3</v>
      </c>
      <c r="Q88">
        <v>1.135103214880352E-6</v>
      </c>
      <c r="R88">
        <v>2.200327426921958E-2</v>
      </c>
      <c r="S88">
        <v>2.20021391660047E-2</v>
      </c>
      <c r="T88">
        <v>147</v>
      </c>
    </row>
    <row r="89" spans="1:20" x14ac:dyDescent="0.35">
      <c r="A89" s="1">
        <v>40663</v>
      </c>
      <c r="B89" t="s">
        <v>37</v>
      </c>
      <c r="C89" t="s">
        <v>466</v>
      </c>
      <c r="D89">
        <v>7.1853922835566162E-3</v>
      </c>
      <c r="E89" t="s">
        <v>467</v>
      </c>
      <c r="F89" t="s">
        <v>468</v>
      </c>
      <c r="G89" t="s">
        <v>469</v>
      </c>
      <c r="H89">
        <v>1.258744840669431E-2</v>
      </c>
      <c r="I89">
        <v>6.9684035979052116E-4</v>
      </c>
      <c r="J89">
        <v>-0.31383422071021633</v>
      </c>
      <c r="K89">
        <v>4.4942117082816644</v>
      </c>
      <c r="L89">
        <v>1.049692732732275E-2</v>
      </c>
      <c r="M89">
        <v>3.3115350437661322E-3</v>
      </c>
      <c r="N89" t="s">
        <v>470</v>
      </c>
      <c r="O89" s="1">
        <v>40694</v>
      </c>
      <c r="P89">
        <v>0.66971461460292625</v>
      </c>
      <c r="Q89">
        <v>3.3485730730146312E-4</v>
      </c>
      <c r="R89">
        <v>-2.20333684792908E-3</v>
      </c>
      <c r="S89">
        <v>-2.538194155230543E-3</v>
      </c>
      <c r="T89">
        <v>148</v>
      </c>
    </row>
    <row r="90" spans="1:20" x14ac:dyDescent="0.35">
      <c r="A90" s="1">
        <v>40694</v>
      </c>
      <c r="B90" t="s">
        <v>37</v>
      </c>
      <c r="C90" t="s">
        <v>471</v>
      </c>
      <c r="D90">
        <v>7.4582306477366869E-3</v>
      </c>
      <c r="E90" t="s">
        <v>124</v>
      </c>
      <c r="F90" t="s">
        <v>472</v>
      </c>
      <c r="G90" t="s">
        <v>473</v>
      </c>
      <c r="H90">
        <v>1.0838881274437681E-2</v>
      </c>
      <c r="I90">
        <v>6.4836981916937999E-4</v>
      </c>
      <c r="J90">
        <v>0.19248196272596549</v>
      </c>
      <c r="K90">
        <v>4.2235021624632809</v>
      </c>
      <c r="L90">
        <v>8.8937718169295431E-3</v>
      </c>
      <c r="M90">
        <v>1.4355411691928559E-3</v>
      </c>
      <c r="N90" t="s">
        <v>474</v>
      </c>
      <c r="O90" s="1">
        <v>40724</v>
      </c>
      <c r="P90">
        <v>0.66971461460292636</v>
      </c>
      <c r="Q90">
        <v>3.3485730730146318E-4</v>
      </c>
      <c r="R90">
        <v>-7.4239085862942544E-3</v>
      </c>
      <c r="S90">
        <v>-7.7587658935957173E-3</v>
      </c>
      <c r="T90">
        <v>149</v>
      </c>
    </row>
    <row r="91" spans="1:20" x14ac:dyDescent="0.35">
      <c r="A91" s="1">
        <v>40724</v>
      </c>
      <c r="B91" t="s">
        <v>37</v>
      </c>
      <c r="C91" t="s">
        <v>475</v>
      </c>
      <c r="D91">
        <v>7.3953451456192504E-3</v>
      </c>
      <c r="E91" t="s">
        <v>124</v>
      </c>
      <c r="F91" t="s">
        <v>476</v>
      </c>
      <c r="G91" t="s">
        <v>477</v>
      </c>
      <c r="H91">
        <v>1.058660640707948E-2</v>
      </c>
      <c r="I91">
        <v>5.4635190559171602E-4</v>
      </c>
      <c r="J91">
        <v>0.2205872574560433</v>
      </c>
      <c r="K91">
        <v>3.9976176741220999</v>
      </c>
      <c r="L91">
        <v>8.9475506903043366E-3</v>
      </c>
      <c r="M91">
        <v>1.552205544685086E-3</v>
      </c>
      <c r="N91" t="s">
        <v>478</v>
      </c>
      <c r="O91" s="1">
        <v>40755</v>
      </c>
      <c r="P91">
        <v>9.039077234713E-2</v>
      </c>
      <c r="Q91">
        <v>4.5195386173564999E-5</v>
      </c>
      <c r="R91">
        <v>-4.187789163857163E-3</v>
      </c>
      <c r="S91">
        <v>-4.232984550030728E-3</v>
      </c>
      <c r="T91">
        <v>150</v>
      </c>
    </row>
    <row r="92" spans="1:20" x14ac:dyDescent="0.35">
      <c r="A92" s="1">
        <v>40755</v>
      </c>
      <c r="B92" t="s">
        <v>37</v>
      </c>
      <c r="C92" t="s">
        <v>479</v>
      </c>
      <c r="D92">
        <v>7.2039160295744014E-3</v>
      </c>
      <c r="E92" t="s">
        <v>124</v>
      </c>
      <c r="F92" t="s">
        <v>480</v>
      </c>
      <c r="G92" t="s">
        <v>481</v>
      </c>
      <c r="H92">
        <v>1.072298835810836E-2</v>
      </c>
      <c r="I92">
        <v>5.4595312220135251E-4</v>
      </c>
      <c r="J92">
        <v>0.1799452621025121</v>
      </c>
      <c r="K92">
        <v>4.1235822832803457</v>
      </c>
      <c r="L92">
        <v>9.0851289915042984E-3</v>
      </c>
      <c r="M92">
        <v>1.8812129619298981E-3</v>
      </c>
      <c r="N92" t="s">
        <v>482</v>
      </c>
      <c r="O92" s="1">
        <v>40786</v>
      </c>
      <c r="P92">
        <v>2.3344612346333231E-3</v>
      </c>
      <c r="Q92">
        <v>1.167230617316661E-6</v>
      </c>
      <c r="R92">
        <v>-1.8374415857710359E-2</v>
      </c>
      <c r="S92">
        <v>-1.8375583088327679E-2</v>
      </c>
      <c r="T92">
        <v>151</v>
      </c>
    </row>
    <row r="93" spans="1:20" x14ac:dyDescent="0.35">
      <c r="A93" s="1">
        <v>40786</v>
      </c>
      <c r="B93" t="s">
        <v>37</v>
      </c>
      <c r="C93" t="s">
        <v>483</v>
      </c>
      <c r="D93">
        <v>4.3565129793159884E-3</v>
      </c>
      <c r="E93" t="s">
        <v>115</v>
      </c>
      <c r="F93" t="s">
        <v>484</v>
      </c>
      <c r="G93" t="s">
        <v>485</v>
      </c>
      <c r="H93">
        <v>8.6244010491671758E-3</v>
      </c>
      <c r="I93">
        <v>6.1332650305939099E-4</v>
      </c>
      <c r="J93">
        <v>-1.5087742487767071</v>
      </c>
      <c r="K93">
        <v>9.3763719202730211</v>
      </c>
      <c r="L93">
        <v>6.7844215399890028E-3</v>
      </c>
      <c r="M93">
        <v>2.4279085606730148E-3</v>
      </c>
      <c r="N93" t="s">
        <v>486</v>
      </c>
      <c r="O93" s="1">
        <v>40816</v>
      </c>
      <c r="P93">
        <v>0.5720779803835021</v>
      </c>
      <c r="Q93">
        <v>2.8603899019175098E-4</v>
      </c>
      <c r="R93">
        <v>-4.7129124881337428E-2</v>
      </c>
      <c r="S93">
        <v>-4.7415163871529178E-2</v>
      </c>
      <c r="T93">
        <v>152</v>
      </c>
    </row>
    <row r="94" spans="1:20" x14ac:dyDescent="0.35">
      <c r="A94" s="1">
        <v>40816</v>
      </c>
      <c r="B94" t="s">
        <v>37</v>
      </c>
      <c r="C94" t="s">
        <v>487</v>
      </c>
      <c r="D94">
        <v>2.4366523139960269E-4</v>
      </c>
      <c r="E94" t="s">
        <v>81</v>
      </c>
      <c r="F94" t="s">
        <v>488</v>
      </c>
      <c r="G94" t="s">
        <v>489</v>
      </c>
      <c r="H94">
        <v>8.5313899015870311E-3</v>
      </c>
      <c r="I94">
        <v>8.5708600515134426E-4</v>
      </c>
      <c r="J94">
        <v>-1.0604117061156679</v>
      </c>
      <c r="K94">
        <v>6.842206621952303</v>
      </c>
      <c r="L94">
        <v>5.9601318861329982E-3</v>
      </c>
      <c r="M94">
        <v>5.7164666547333959E-3</v>
      </c>
      <c r="N94" t="s">
        <v>490</v>
      </c>
      <c r="O94" s="1">
        <v>40847</v>
      </c>
      <c r="P94">
        <v>0.24912302467053979</v>
      </c>
      <c r="Q94">
        <v>1.2456151233526989E-4</v>
      </c>
      <c r="R94">
        <v>5.585489084186953E-2</v>
      </c>
      <c r="S94">
        <v>5.5730329329534263E-2</v>
      </c>
      <c r="T94">
        <v>153</v>
      </c>
    </row>
    <row r="95" spans="1:20" x14ac:dyDescent="0.35">
      <c r="A95" s="1">
        <v>40847</v>
      </c>
      <c r="B95" t="s">
        <v>37</v>
      </c>
      <c r="C95" t="s">
        <v>491</v>
      </c>
      <c r="D95">
        <v>6.410300255693932E-3</v>
      </c>
      <c r="E95" t="s">
        <v>56</v>
      </c>
      <c r="F95" t="s">
        <v>492</v>
      </c>
      <c r="G95" t="s">
        <v>493</v>
      </c>
      <c r="H95">
        <v>1.3546486386105091E-2</v>
      </c>
      <c r="I95">
        <v>8.7979877009678636E-4</v>
      </c>
      <c r="J95">
        <v>-1.0154000530447209</v>
      </c>
      <c r="K95">
        <v>3.9181413950335271</v>
      </c>
      <c r="L95">
        <v>1.0907090075814731E-2</v>
      </c>
      <c r="M95">
        <v>4.4967898201207987E-3</v>
      </c>
      <c r="N95" t="s">
        <v>494</v>
      </c>
      <c r="O95" s="1">
        <v>40877</v>
      </c>
      <c r="P95">
        <v>0.7987844977943489</v>
      </c>
      <c r="Q95">
        <v>3.993922488971745E-4</v>
      </c>
      <c r="R95">
        <v>1.0298870364409581E-2</v>
      </c>
      <c r="S95">
        <v>9.8994781155124067E-3</v>
      </c>
      <c r="T95">
        <v>154</v>
      </c>
    </row>
    <row r="96" spans="1:20" x14ac:dyDescent="0.35">
      <c r="A96" s="1">
        <v>40877</v>
      </c>
      <c r="B96" t="s">
        <v>37</v>
      </c>
      <c r="C96" t="s">
        <v>495</v>
      </c>
      <c r="D96">
        <v>3.7190103189074118E-3</v>
      </c>
      <c r="E96" t="s">
        <v>467</v>
      </c>
      <c r="F96" t="s">
        <v>496</v>
      </c>
      <c r="G96" t="s">
        <v>497</v>
      </c>
      <c r="H96">
        <v>9.8119243496386371E-3</v>
      </c>
      <c r="I96">
        <v>5.0534277121500742E-4</v>
      </c>
      <c r="J96">
        <v>-0.42713018428944999</v>
      </c>
      <c r="K96">
        <v>4.3407176630564663</v>
      </c>
      <c r="L96">
        <v>8.2958960359936149E-3</v>
      </c>
      <c r="M96">
        <v>4.5768857170862022E-3</v>
      </c>
      <c r="N96" t="s">
        <v>498</v>
      </c>
      <c r="O96" s="1">
        <v>40908</v>
      </c>
      <c r="P96">
        <v>0.7987844977943489</v>
      </c>
      <c r="Q96">
        <v>3.993922488971745E-4</v>
      </c>
      <c r="R96">
        <v>1.103280825950107E-2</v>
      </c>
      <c r="S96">
        <v>1.0633416010603899E-2</v>
      </c>
      <c r="T96">
        <v>155</v>
      </c>
    </row>
    <row r="97" spans="1:20" x14ac:dyDescent="0.35">
      <c r="A97" s="1">
        <v>40908</v>
      </c>
      <c r="B97" t="s">
        <v>37</v>
      </c>
      <c r="C97" t="s">
        <v>499</v>
      </c>
      <c r="D97">
        <v>6.1294732257231969E-3</v>
      </c>
      <c r="E97" t="s">
        <v>467</v>
      </c>
      <c r="F97" t="s">
        <v>500</v>
      </c>
      <c r="G97" t="s">
        <v>501</v>
      </c>
      <c r="H97">
        <v>9.5306255632315474E-3</v>
      </c>
      <c r="I97">
        <v>4.6176949872140489E-4</v>
      </c>
      <c r="J97">
        <v>-0.1677664021049802</v>
      </c>
      <c r="K97">
        <v>4.2807502341129542</v>
      </c>
      <c r="L97">
        <v>8.1453170670673335E-3</v>
      </c>
      <c r="M97">
        <v>2.015843841344137E-3</v>
      </c>
      <c r="N97" t="s">
        <v>502</v>
      </c>
      <c r="O97" s="1">
        <v>40939</v>
      </c>
      <c r="P97">
        <v>0.2838629887018248</v>
      </c>
      <c r="Q97">
        <v>1.419314943509124E-4</v>
      </c>
      <c r="R97">
        <v>3.6354719493904807E-2</v>
      </c>
      <c r="S97">
        <v>3.6212787999553901E-2</v>
      </c>
      <c r="T97">
        <v>156</v>
      </c>
    </row>
    <row r="98" spans="1:20" x14ac:dyDescent="0.35">
      <c r="A98" s="1">
        <v>40939</v>
      </c>
      <c r="B98" t="s">
        <v>37</v>
      </c>
      <c r="C98" t="s">
        <v>503</v>
      </c>
      <c r="D98">
        <v>6.5976935935979936E-3</v>
      </c>
      <c r="E98" t="s">
        <v>467</v>
      </c>
      <c r="F98" t="s">
        <v>504</v>
      </c>
      <c r="G98" t="s">
        <v>505</v>
      </c>
      <c r="H98">
        <v>1.0293790016849181E-2</v>
      </c>
      <c r="I98">
        <v>4.8825313320346569E-4</v>
      </c>
      <c r="J98">
        <v>-0.1652908841986323</v>
      </c>
      <c r="K98">
        <v>4.0182095393465556</v>
      </c>
      <c r="L98">
        <v>8.8290306172387825E-3</v>
      </c>
      <c r="M98">
        <v>2.2313370236407889E-3</v>
      </c>
      <c r="N98" t="s">
        <v>506</v>
      </c>
      <c r="O98" s="1">
        <v>40968</v>
      </c>
      <c r="P98">
        <v>1.6552514037978039E-4</v>
      </c>
      <c r="Q98">
        <v>8.2762570189890215E-8</v>
      </c>
      <c r="R98">
        <v>1.8223516850670751E-2</v>
      </c>
      <c r="S98">
        <v>1.8223434088100562E-2</v>
      </c>
      <c r="T98">
        <v>157</v>
      </c>
    </row>
    <row r="99" spans="1:20" x14ac:dyDescent="0.35">
      <c r="A99" s="1">
        <v>40968</v>
      </c>
      <c r="B99" t="s">
        <v>37</v>
      </c>
      <c r="C99" t="s">
        <v>507</v>
      </c>
      <c r="D99">
        <v>6.4626283549791752E-3</v>
      </c>
      <c r="E99" t="s">
        <v>115</v>
      </c>
      <c r="F99" t="s">
        <v>508</v>
      </c>
      <c r="G99" t="s">
        <v>509</v>
      </c>
      <c r="H99">
        <v>1.0243921367299061E-2</v>
      </c>
      <c r="I99">
        <v>5.4149982104881485E-4</v>
      </c>
      <c r="J99">
        <v>-0.50745899232811154</v>
      </c>
      <c r="K99">
        <v>3.7660300198301608</v>
      </c>
      <c r="L99">
        <v>8.6194219041526125E-3</v>
      </c>
      <c r="M99">
        <v>2.1567935491734369E-3</v>
      </c>
      <c r="N99" t="s">
        <v>510</v>
      </c>
      <c r="O99" s="1">
        <v>40999</v>
      </c>
      <c r="P99">
        <v>0.39999964897540458</v>
      </c>
      <c r="Q99">
        <v>1.9999982448770231E-4</v>
      </c>
      <c r="R99">
        <v>-1.242919479221512E-3</v>
      </c>
      <c r="S99">
        <v>-1.442919303709214E-3</v>
      </c>
      <c r="T99">
        <v>158</v>
      </c>
    </row>
    <row r="100" spans="1:20" x14ac:dyDescent="0.35">
      <c r="A100" s="1">
        <v>40999</v>
      </c>
      <c r="B100" t="s">
        <v>37</v>
      </c>
      <c r="C100" t="s">
        <v>511</v>
      </c>
      <c r="D100">
        <v>9.2869089756573986E-3</v>
      </c>
      <c r="E100" t="s">
        <v>405</v>
      </c>
      <c r="F100" t="s">
        <v>512</v>
      </c>
      <c r="G100" t="s">
        <v>513</v>
      </c>
      <c r="H100">
        <v>1.301648544931672E-2</v>
      </c>
      <c r="I100">
        <v>7.1088265066102476E-4</v>
      </c>
      <c r="J100">
        <v>-0.48614377467498598</v>
      </c>
      <c r="K100">
        <v>4.7145266615684296</v>
      </c>
      <c r="L100">
        <v>1.088383749733365E-2</v>
      </c>
      <c r="M100">
        <v>1.5969285216762481E-3</v>
      </c>
      <c r="N100" t="s">
        <v>514</v>
      </c>
      <c r="O100" s="1">
        <v>41029</v>
      </c>
      <c r="P100">
        <v>0.40000035090752528</v>
      </c>
      <c r="Q100">
        <v>2.0000017545376261E-4</v>
      </c>
      <c r="R100">
        <v>5.1276486146239371E-3</v>
      </c>
      <c r="S100">
        <v>4.9276484391701748E-3</v>
      </c>
      <c r="T100">
        <v>159</v>
      </c>
    </row>
    <row r="101" spans="1:20" x14ac:dyDescent="0.35">
      <c r="A101" s="1">
        <v>41029</v>
      </c>
      <c r="B101" t="s">
        <v>37</v>
      </c>
      <c r="C101" t="s">
        <v>515</v>
      </c>
      <c r="D101">
        <v>6.9960421455225377E-3</v>
      </c>
      <c r="E101" t="s">
        <v>516</v>
      </c>
      <c r="F101" t="s">
        <v>517</v>
      </c>
      <c r="G101" t="s">
        <v>518</v>
      </c>
      <c r="H101">
        <v>1.002119007496138E-2</v>
      </c>
      <c r="I101">
        <v>4.689968621188332E-4</v>
      </c>
      <c r="J101">
        <v>-4.3903562576883652E-2</v>
      </c>
      <c r="K101">
        <v>3.532910481939322</v>
      </c>
      <c r="L101">
        <v>8.6141994886048765E-3</v>
      </c>
      <c r="M101">
        <v>1.6181573430823391E-3</v>
      </c>
      <c r="N101" t="s">
        <v>519</v>
      </c>
      <c r="O101" s="1">
        <v>41060</v>
      </c>
      <c r="P101">
        <v>0.79999999988293002</v>
      </c>
      <c r="Q101">
        <v>3.9999999994146497E-4</v>
      </c>
      <c r="R101">
        <v>-2.4956874511320962E-2</v>
      </c>
      <c r="S101">
        <v>-2.5356874511262419E-2</v>
      </c>
      <c r="T101">
        <v>160</v>
      </c>
    </row>
    <row r="102" spans="1:20" x14ac:dyDescent="0.35">
      <c r="A102" s="1">
        <v>41060</v>
      </c>
      <c r="B102" t="s">
        <v>37</v>
      </c>
      <c r="C102" t="s">
        <v>520</v>
      </c>
      <c r="D102">
        <v>5.3292402239014571E-3</v>
      </c>
      <c r="E102" t="s">
        <v>521</v>
      </c>
      <c r="F102" t="s">
        <v>522</v>
      </c>
      <c r="G102" t="s">
        <v>523</v>
      </c>
      <c r="H102">
        <v>8.7956829823374848E-3</v>
      </c>
      <c r="I102">
        <v>3.6742270884684971E-4</v>
      </c>
      <c r="J102">
        <v>-0.88263003638188786</v>
      </c>
      <c r="K102">
        <v>6.8367102041142491</v>
      </c>
      <c r="L102">
        <v>7.6934148557969359E-3</v>
      </c>
      <c r="M102">
        <v>2.3641746318954788E-3</v>
      </c>
      <c r="N102" t="s">
        <v>524</v>
      </c>
      <c r="O102" s="1">
        <v>41090</v>
      </c>
      <c r="P102">
        <v>0.38677047630289219</v>
      </c>
      <c r="Q102">
        <v>1.9338523815144609E-4</v>
      </c>
      <c r="R102">
        <v>2.2680055749379271E-2</v>
      </c>
      <c r="S102">
        <v>2.2486670511227831E-2</v>
      </c>
      <c r="T102">
        <v>161</v>
      </c>
    </row>
    <row r="103" spans="1:20" x14ac:dyDescent="0.35">
      <c r="A103" s="1">
        <v>41090</v>
      </c>
      <c r="B103" t="s">
        <v>37</v>
      </c>
      <c r="C103" t="s">
        <v>525</v>
      </c>
      <c r="D103">
        <v>9.0242142005472013E-3</v>
      </c>
      <c r="E103" t="s">
        <v>526</v>
      </c>
      <c r="F103" t="s">
        <v>527</v>
      </c>
      <c r="G103" t="s">
        <v>528</v>
      </c>
      <c r="H103">
        <v>1.137968723109499E-2</v>
      </c>
      <c r="I103">
        <v>4.1171597780061592E-4</v>
      </c>
      <c r="J103">
        <v>-0.72011356121666981</v>
      </c>
      <c r="K103">
        <v>5.3103912093284578</v>
      </c>
      <c r="L103">
        <v>1.0144539297693151E-2</v>
      </c>
      <c r="M103">
        <v>1.120325097145944E-3</v>
      </c>
      <c r="N103" t="s">
        <v>529</v>
      </c>
      <c r="O103" s="1">
        <v>41121</v>
      </c>
      <c r="P103">
        <v>0.29965263806564152</v>
      </c>
      <c r="Q103">
        <v>1.4982631903282079E-4</v>
      </c>
      <c r="R103">
        <v>1.9026178442844131E-2</v>
      </c>
      <c r="S103">
        <v>1.8876352123811311E-2</v>
      </c>
      <c r="T103">
        <v>162</v>
      </c>
    </row>
    <row r="104" spans="1:20" x14ac:dyDescent="0.35">
      <c r="A104" s="1">
        <v>41121</v>
      </c>
      <c r="B104" t="s">
        <v>37</v>
      </c>
      <c r="C104" t="s">
        <v>530</v>
      </c>
      <c r="D104">
        <v>6.8861350305099104E-3</v>
      </c>
      <c r="E104" t="s">
        <v>521</v>
      </c>
      <c r="F104" t="s">
        <v>531</v>
      </c>
      <c r="G104" t="s">
        <v>532</v>
      </c>
      <c r="H104">
        <v>9.9320913145961812E-3</v>
      </c>
      <c r="I104">
        <v>2.9107274579477242E-4</v>
      </c>
      <c r="J104">
        <v>-0.31695484043195638</v>
      </c>
      <c r="K104">
        <v>3.388001434488098</v>
      </c>
      <c r="L104">
        <v>9.0588730772118639E-3</v>
      </c>
      <c r="M104">
        <v>2.1727380467019539E-3</v>
      </c>
      <c r="N104" t="s">
        <v>533</v>
      </c>
      <c r="O104" s="1">
        <v>41152</v>
      </c>
      <c r="P104">
        <v>0.30016897032118728</v>
      </c>
      <c r="Q104">
        <v>1.5008448516059359E-4</v>
      </c>
      <c r="R104">
        <v>1.3021767456961609E-2</v>
      </c>
      <c r="S104">
        <v>1.287168297180102E-2</v>
      </c>
      <c r="T104">
        <v>163</v>
      </c>
    </row>
    <row r="105" spans="1:20" x14ac:dyDescent="0.35">
      <c r="A105" s="1">
        <v>41152</v>
      </c>
      <c r="B105" t="s">
        <v>37</v>
      </c>
      <c r="C105" t="s">
        <v>534</v>
      </c>
      <c r="D105">
        <v>7.3213240499608503E-3</v>
      </c>
      <c r="E105" t="s">
        <v>516</v>
      </c>
      <c r="F105" t="s">
        <v>535</v>
      </c>
      <c r="G105" t="s">
        <v>536</v>
      </c>
      <c r="H105">
        <v>1.069911309320027E-2</v>
      </c>
      <c r="I105">
        <v>5.0631181419596072E-4</v>
      </c>
      <c r="J105">
        <v>-0.10959094239061069</v>
      </c>
      <c r="K105">
        <v>3.666373342776708</v>
      </c>
      <c r="L105">
        <v>9.1801776506123898E-3</v>
      </c>
      <c r="M105">
        <v>1.8588536006515399E-3</v>
      </c>
      <c r="N105" t="s">
        <v>537</v>
      </c>
      <c r="O105" s="1">
        <v>41182</v>
      </c>
      <c r="P105">
        <v>0.48716831641998021</v>
      </c>
      <c r="Q105">
        <v>2.4358415820999009E-4</v>
      </c>
      <c r="R105">
        <v>1.5863453880071689E-2</v>
      </c>
      <c r="S105">
        <v>1.56198697218617E-2</v>
      </c>
      <c r="T105">
        <v>164</v>
      </c>
    </row>
    <row r="106" spans="1:20" x14ac:dyDescent="0.35">
      <c r="A106" s="1">
        <v>41182</v>
      </c>
      <c r="B106" t="s">
        <v>37</v>
      </c>
      <c r="C106" t="s">
        <v>538</v>
      </c>
      <c r="D106">
        <v>8.8184474666666464E-3</v>
      </c>
      <c r="E106" t="s">
        <v>516</v>
      </c>
      <c r="F106" t="s">
        <v>539</v>
      </c>
      <c r="G106" t="s">
        <v>540</v>
      </c>
      <c r="H106">
        <v>1.221141349665439E-2</v>
      </c>
      <c r="I106">
        <v>6.5911990395214285E-4</v>
      </c>
      <c r="J106">
        <v>-6.5516055072569149E-2</v>
      </c>
      <c r="K106">
        <v>3.8106886316619661</v>
      </c>
      <c r="L106">
        <v>1.0234053784797959E-2</v>
      </c>
      <c r="M106">
        <v>1.415606318131313E-3</v>
      </c>
      <c r="N106" t="s">
        <v>541</v>
      </c>
      <c r="O106" s="1">
        <v>41213</v>
      </c>
      <c r="P106">
        <v>0.2320266028274231</v>
      </c>
      <c r="Q106">
        <v>1.1601330141371161E-4</v>
      </c>
      <c r="R106">
        <v>-1.129619616241768E-2</v>
      </c>
      <c r="S106">
        <v>-1.141220946383139E-2</v>
      </c>
      <c r="T106">
        <v>165</v>
      </c>
    </row>
    <row r="107" spans="1:20" x14ac:dyDescent="0.35">
      <c r="A107" s="1">
        <v>41213</v>
      </c>
      <c r="B107" t="s">
        <v>37</v>
      </c>
      <c r="C107" t="s">
        <v>542</v>
      </c>
      <c r="D107">
        <v>9.7629462882118431E-3</v>
      </c>
      <c r="E107" t="s">
        <v>68</v>
      </c>
      <c r="F107" t="s">
        <v>543</v>
      </c>
      <c r="G107" t="s">
        <v>544</v>
      </c>
      <c r="H107">
        <v>1.4004340248244471E-2</v>
      </c>
      <c r="I107">
        <v>7.6273680395469922E-4</v>
      </c>
      <c r="J107">
        <v>-9.6060541009400272E-2</v>
      </c>
      <c r="K107">
        <v>4.0311174956173952</v>
      </c>
      <c r="L107">
        <v>1.171612983638037E-2</v>
      </c>
      <c r="M107">
        <v>1.9531835481685269E-3</v>
      </c>
      <c r="N107" t="s">
        <v>545</v>
      </c>
      <c r="O107" s="1">
        <v>41243</v>
      </c>
      <c r="P107">
        <v>9.9988689640848602E-2</v>
      </c>
      <c r="Q107">
        <v>4.9994344820424299E-5</v>
      </c>
      <c r="R107">
        <v>1.7798674207149999E-2</v>
      </c>
      <c r="S107">
        <v>1.7748679862329579E-2</v>
      </c>
      <c r="T107">
        <v>166</v>
      </c>
    </row>
    <row r="108" spans="1:20" x14ac:dyDescent="0.35">
      <c r="A108" s="1">
        <v>41243</v>
      </c>
      <c r="B108" t="s">
        <v>37</v>
      </c>
      <c r="C108" t="s">
        <v>546</v>
      </c>
      <c r="D108">
        <v>7.3896331473590161E-3</v>
      </c>
      <c r="E108" t="s">
        <v>516</v>
      </c>
      <c r="F108" t="s">
        <v>547</v>
      </c>
      <c r="G108" t="s">
        <v>548</v>
      </c>
      <c r="H108">
        <v>1.156446291128207E-2</v>
      </c>
      <c r="I108">
        <v>7.3220567104089699E-4</v>
      </c>
      <c r="J108">
        <v>-0.22129109684620871</v>
      </c>
      <c r="K108">
        <v>3.683845709248474</v>
      </c>
      <c r="L108">
        <v>9.3678458981593764E-3</v>
      </c>
      <c r="M108">
        <v>1.9782127508003598E-3</v>
      </c>
      <c r="N108" t="s">
        <v>549</v>
      </c>
      <c r="O108" s="1">
        <v>41274</v>
      </c>
      <c r="P108">
        <v>0.1082784142140442</v>
      </c>
      <c r="Q108">
        <v>5.4139207107022122E-5</v>
      </c>
      <c r="R108">
        <v>6.0692904919421194E-4</v>
      </c>
      <c r="S108">
        <v>5.5278984208718984E-4</v>
      </c>
      <c r="T108">
        <v>167</v>
      </c>
    </row>
    <row r="109" spans="1:20" x14ac:dyDescent="0.35">
      <c r="A109" s="1">
        <v>41274</v>
      </c>
      <c r="B109" t="s">
        <v>37</v>
      </c>
      <c r="C109" t="s">
        <v>550</v>
      </c>
      <c r="D109">
        <v>7.3991727966043674E-3</v>
      </c>
      <c r="E109" t="s">
        <v>551</v>
      </c>
      <c r="F109" t="s">
        <v>552</v>
      </c>
      <c r="G109" t="s">
        <v>553</v>
      </c>
      <c r="H109">
        <v>1.124179420634016E-2</v>
      </c>
      <c r="I109">
        <v>7.2180184133326477E-4</v>
      </c>
      <c r="J109">
        <v>-0.10991220786498369</v>
      </c>
      <c r="K109">
        <v>3.6642579673489841</v>
      </c>
      <c r="L109">
        <v>9.0763886823403694E-3</v>
      </c>
      <c r="M109">
        <v>1.6772158857360029E-3</v>
      </c>
      <c r="N109" t="s">
        <v>554</v>
      </c>
      <c r="O109" s="1">
        <v>41305</v>
      </c>
      <c r="P109">
        <v>7.9666915928615217E-3</v>
      </c>
      <c r="Q109">
        <v>3.9833457964307613E-6</v>
      </c>
      <c r="R109">
        <v>2.6107273222751842E-2</v>
      </c>
      <c r="S109">
        <v>2.6103289876955409E-2</v>
      </c>
      <c r="T109">
        <v>168</v>
      </c>
    </row>
    <row r="110" spans="1:20" x14ac:dyDescent="0.35">
      <c r="A110" s="1">
        <v>41305</v>
      </c>
      <c r="B110" t="s">
        <v>37</v>
      </c>
      <c r="C110" t="s">
        <v>555</v>
      </c>
      <c r="D110">
        <v>7.8784645769393938E-3</v>
      </c>
      <c r="E110" t="s">
        <v>68</v>
      </c>
      <c r="F110" t="s">
        <v>556</v>
      </c>
      <c r="G110" t="s">
        <v>557</v>
      </c>
      <c r="H110">
        <v>1.192872220781846E-2</v>
      </c>
      <c r="I110">
        <v>7.8902981513245135E-4</v>
      </c>
      <c r="J110">
        <v>-6.8883157513462023E-2</v>
      </c>
      <c r="K110">
        <v>3.5711444253451869</v>
      </c>
      <c r="L110">
        <v>9.5616327624211059E-3</v>
      </c>
      <c r="M110">
        <v>1.6831681854817121E-3</v>
      </c>
      <c r="N110" t="s">
        <v>558</v>
      </c>
      <c r="O110" s="1">
        <v>41333</v>
      </c>
      <c r="P110">
        <v>0.1003719612764233</v>
      </c>
      <c r="Q110">
        <v>5.0185980638211661E-5</v>
      </c>
      <c r="R110">
        <v>1.354364902038464E-2</v>
      </c>
      <c r="S110">
        <v>1.3493463039746431E-2</v>
      </c>
      <c r="T110">
        <v>169</v>
      </c>
    </row>
    <row r="111" spans="1:20" x14ac:dyDescent="0.35">
      <c r="A111" s="1">
        <v>41333</v>
      </c>
      <c r="B111" t="s">
        <v>37</v>
      </c>
      <c r="C111" t="s">
        <v>559</v>
      </c>
      <c r="D111">
        <v>1.1319277865589681E-2</v>
      </c>
      <c r="E111" t="s">
        <v>68</v>
      </c>
      <c r="F111" t="s">
        <v>560</v>
      </c>
      <c r="G111" t="s">
        <v>561</v>
      </c>
      <c r="H111">
        <v>1.5836367685958211E-2</v>
      </c>
      <c r="I111">
        <v>6.6644206204617435E-4</v>
      </c>
      <c r="J111">
        <v>-0.12573140238792191</v>
      </c>
      <c r="K111">
        <v>4.7161043777064471</v>
      </c>
      <c r="L111">
        <v>1.383704149981969E-2</v>
      </c>
      <c r="M111">
        <v>2.5177636342300119E-3</v>
      </c>
      <c r="N111" t="s">
        <v>562</v>
      </c>
      <c r="O111" s="1">
        <v>41364</v>
      </c>
      <c r="P111">
        <v>5.4190003945242537E-6</v>
      </c>
      <c r="Q111">
        <v>2.7095001972621272E-9</v>
      </c>
      <c r="R111">
        <v>2.658401841114837E-2</v>
      </c>
      <c r="S111">
        <v>2.658401570164818E-2</v>
      </c>
      <c r="T111">
        <v>170</v>
      </c>
    </row>
    <row r="112" spans="1:20" x14ac:dyDescent="0.35">
      <c r="A112" s="1">
        <v>41364</v>
      </c>
      <c r="B112" t="s">
        <v>37</v>
      </c>
      <c r="C112" t="s">
        <v>563</v>
      </c>
      <c r="D112">
        <v>1.1785059896348401E-2</v>
      </c>
      <c r="E112" t="s">
        <v>68</v>
      </c>
      <c r="F112" t="s">
        <v>564</v>
      </c>
      <c r="G112" t="s">
        <v>565</v>
      </c>
      <c r="H112">
        <v>1.645579029670808E-2</v>
      </c>
      <c r="I112">
        <v>6.5939933366018766E-4</v>
      </c>
      <c r="J112">
        <v>-0.18575157234552411</v>
      </c>
      <c r="K112">
        <v>4.8147003686835523</v>
      </c>
      <c r="L112">
        <v>1.447759229572752E-2</v>
      </c>
      <c r="M112">
        <v>2.6925323993791119E-3</v>
      </c>
      <c r="N112" t="s">
        <v>566</v>
      </c>
      <c r="O112" s="1">
        <v>41394</v>
      </c>
      <c r="P112">
        <v>4.9962589621088682E-11</v>
      </c>
      <c r="Q112">
        <v>2.4981294810544339E-14</v>
      </c>
      <c r="R112">
        <v>2.1697077514428221E-2</v>
      </c>
      <c r="S112">
        <v>2.1697077514403241E-2</v>
      </c>
      <c r="T112">
        <v>171</v>
      </c>
    </row>
    <row r="113" spans="1:20" x14ac:dyDescent="0.35">
      <c r="A113" s="1">
        <v>41394</v>
      </c>
      <c r="B113" t="s">
        <v>37</v>
      </c>
      <c r="C113" t="s">
        <v>567</v>
      </c>
      <c r="D113">
        <v>1.101588058160463E-2</v>
      </c>
      <c r="E113" t="s">
        <v>68</v>
      </c>
      <c r="F113" t="s">
        <v>568</v>
      </c>
      <c r="G113" t="s">
        <v>569</v>
      </c>
      <c r="H113">
        <v>1.524073925114732E-2</v>
      </c>
      <c r="I113">
        <v>6.6799571091286222E-4</v>
      </c>
      <c r="J113">
        <v>0.20444614873011299</v>
      </c>
      <c r="K113">
        <v>3.0895380136040509</v>
      </c>
      <c r="L113">
        <v>1.323675211840874E-2</v>
      </c>
      <c r="M113">
        <v>2.2208715368041091E-3</v>
      </c>
      <c r="N113" t="s">
        <v>570</v>
      </c>
      <c r="O113" s="1">
        <v>41425</v>
      </c>
      <c r="P113">
        <v>3.6191417640551997E-8</v>
      </c>
      <c r="Q113">
        <v>1.8095708820275999E-11</v>
      </c>
      <c r="R113">
        <v>2.5830621745327582E-3</v>
      </c>
      <c r="S113">
        <v>2.5830621564370492E-3</v>
      </c>
      <c r="T113">
        <v>172</v>
      </c>
    </row>
    <row r="114" spans="1:20" x14ac:dyDescent="0.35">
      <c r="A114" s="1">
        <v>41425</v>
      </c>
      <c r="B114" t="s">
        <v>37</v>
      </c>
      <c r="C114" t="s">
        <v>571</v>
      </c>
      <c r="D114">
        <v>1.2618848227036209E-2</v>
      </c>
      <c r="E114" t="s">
        <v>68</v>
      </c>
      <c r="F114" t="s">
        <v>572</v>
      </c>
      <c r="G114" t="s">
        <v>573</v>
      </c>
      <c r="H114">
        <v>1.7440551934695389E-2</v>
      </c>
      <c r="I114">
        <v>6.1548235434770232E-4</v>
      </c>
      <c r="J114">
        <v>-7.4546875987235417E-2</v>
      </c>
      <c r="K114">
        <v>4.7283813597942528</v>
      </c>
      <c r="L114">
        <v>1.5594104871652281E-2</v>
      </c>
      <c r="M114">
        <v>2.9752566446160709E-3</v>
      </c>
      <c r="N114" t="s">
        <v>574</v>
      </c>
      <c r="O114" s="1">
        <v>41455</v>
      </c>
      <c r="P114">
        <v>1.6322853061523371E-5</v>
      </c>
      <c r="Q114">
        <v>8.1614265307616837E-9</v>
      </c>
      <c r="R114">
        <v>-9.1744972581258612E-3</v>
      </c>
      <c r="S114">
        <v>-9.1745054195523923E-3</v>
      </c>
      <c r="T114">
        <v>173</v>
      </c>
    </row>
    <row r="115" spans="1:20" x14ac:dyDescent="0.35">
      <c r="A115" s="1">
        <v>41455</v>
      </c>
      <c r="B115" t="s">
        <v>37</v>
      </c>
      <c r="C115" t="s">
        <v>575</v>
      </c>
      <c r="D115">
        <v>1.21641915965791E-2</v>
      </c>
      <c r="E115" t="s">
        <v>68</v>
      </c>
      <c r="F115" t="s">
        <v>576</v>
      </c>
      <c r="G115" t="s">
        <v>577</v>
      </c>
      <c r="H115">
        <v>1.710426306649333E-2</v>
      </c>
      <c r="I115">
        <v>5.8663748758383289E-4</v>
      </c>
      <c r="J115">
        <v>0.12827301395483409</v>
      </c>
      <c r="K115">
        <v>4.4732064078553204</v>
      </c>
      <c r="L115">
        <v>1.534435060374183E-2</v>
      </c>
      <c r="M115">
        <v>3.180159007162731E-3</v>
      </c>
      <c r="N115" t="s">
        <v>578</v>
      </c>
      <c r="O115" s="1">
        <v>41486</v>
      </c>
      <c r="P115">
        <v>8.5837500828578328E-5</v>
      </c>
      <c r="Q115">
        <v>4.2918750414289163E-8</v>
      </c>
      <c r="R115">
        <v>2.922433444696684E-2</v>
      </c>
      <c r="S115">
        <v>2.9224291528216428E-2</v>
      </c>
      <c r="T115">
        <v>174</v>
      </c>
    </row>
    <row r="116" spans="1:20" x14ac:dyDescent="0.35">
      <c r="A116" s="1">
        <v>41486</v>
      </c>
      <c r="B116" t="s">
        <v>37</v>
      </c>
      <c r="C116" t="s">
        <v>579</v>
      </c>
      <c r="D116">
        <v>1.0529702886364871E-2</v>
      </c>
      <c r="E116" t="s">
        <v>68</v>
      </c>
      <c r="F116" t="s">
        <v>580</v>
      </c>
      <c r="G116" t="s">
        <v>581</v>
      </c>
      <c r="H116">
        <v>1.479629290669821E-2</v>
      </c>
      <c r="I116">
        <v>6.4777418520478851E-4</v>
      </c>
      <c r="J116">
        <v>0.23812541910388529</v>
      </c>
      <c r="K116">
        <v>3.1332026329410239</v>
      </c>
      <c r="L116">
        <v>1.2852970351083841E-2</v>
      </c>
      <c r="M116">
        <v>2.3232674647189742E-3</v>
      </c>
      <c r="N116" t="s">
        <v>582</v>
      </c>
      <c r="O116" s="1">
        <v>41517</v>
      </c>
      <c r="P116">
        <v>1.0194178780176261E-4</v>
      </c>
      <c r="Q116">
        <v>5.0970893900881283E-8</v>
      </c>
      <c r="R116">
        <v>-2.1655826694537628E-2</v>
      </c>
      <c r="S116">
        <v>-2.165587766543153E-2</v>
      </c>
      <c r="T116">
        <v>175</v>
      </c>
    </row>
    <row r="117" spans="1:20" x14ac:dyDescent="0.35">
      <c r="A117" s="1">
        <v>41517</v>
      </c>
      <c r="B117" t="s">
        <v>37</v>
      </c>
      <c r="C117" t="s">
        <v>583</v>
      </c>
      <c r="D117">
        <v>9.8620430302982162E-3</v>
      </c>
      <c r="E117" t="s">
        <v>68</v>
      </c>
      <c r="F117" t="s">
        <v>584</v>
      </c>
      <c r="G117" t="s">
        <v>585</v>
      </c>
      <c r="H117">
        <v>1.4116885501272981E-2</v>
      </c>
      <c r="I117">
        <v>6.6024113711671251E-4</v>
      </c>
      <c r="J117">
        <v>0.25258758870999631</v>
      </c>
      <c r="K117">
        <v>3.0594969334693189</v>
      </c>
      <c r="L117">
        <v>1.2136162089922841E-2</v>
      </c>
      <c r="M117">
        <v>2.2741190596246262E-3</v>
      </c>
      <c r="N117" t="s">
        <v>586</v>
      </c>
      <c r="O117" s="1">
        <v>41547</v>
      </c>
      <c r="P117">
        <v>2.245249295373952E-7</v>
      </c>
      <c r="Q117">
        <v>1.122624647686976E-10</v>
      </c>
      <c r="R117">
        <v>3.3957069272875701E-2</v>
      </c>
      <c r="S117">
        <v>3.3957069160613237E-2</v>
      </c>
      <c r="T117">
        <v>176</v>
      </c>
    </row>
    <row r="118" spans="1:20" x14ac:dyDescent="0.35">
      <c r="A118" s="1">
        <v>41547</v>
      </c>
      <c r="B118" t="s">
        <v>37</v>
      </c>
      <c r="C118" t="s">
        <v>587</v>
      </c>
      <c r="D118">
        <v>1.2350151006607401E-2</v>
      </c>
      <c r="E118" t="s">
        <v>68</v>
      </c>
      <c r="F118" t="s">
        <v>588</v>
      </c>
      <c r="G118" t="s">
        <v>589</v>
      </c>
      <c r="H118">
        <v>1.735291864032084E-2</v>
      </c>
      <c r="I118">
        <v>6.3413131606066182E-4</v>
      </c>
      <c r="J118">
        <v>-0.27813930568280798</v>
      </c>
      <c r="K118">
        <v>5.7971785158327531</v>
      </c>
      <c r="L118">
        <v>1.545052469213885E-2</v>
      </c>
      <c r="M118">
        <v>3.1003736855314489E-3</v>
      </c>
      <c r="N118" t="s">
        <v>590</v>
      </c>
      <c r="O118" s="1">
        <v>41578</v>
      </c>
      <c r="P118">
        <v>4.5158617016483833E-2</v>
      </c>
      <c r="Q118">
        <v>2.2579308508241911E-5</v>
      </c>
      <c r="R118">
        <v>3.0895311765266279E-2</v>
      </c>
      <c r="S118">
        <v>3.0872732456758031E-2</v>
      </c>
      <c r="T118">
        <v>177</v>
      </c>
    </row>
    <row r="119" spans="1:20" x14ac:dyDescent="0.35">
      <c r="A119" s="1">
        <v>41578</v>
      </c>
      <c r="B119" t="s">
        <v>37</v>
      </c>
      <c r="C119" t="s">
        <v>591</v>
      </c>
      <c r="D119">
        <v>9.8810963055452235E-3</v>
      </c>
      <c r="E119" t="s">
        <v>68</v>
      </c>
      <c r="F119" t="s">
        <v>592</v>
      </c>
      <c r="G119" t="s">
        <v>593</v>
      </c>
      <c r="H119">
        <v>1.311402360011912E-2</v>
      </c>
      <c r="I119">
        <v>3.6772649804597081E-4</v>
      </c>
      <c r="J119">
        <v>-0.5268575390151129</v>
      </c>
      <c r="K119">
        <v>4.1601358626867642</v>
      </c>
      <c r="L119">
        <v>1.201084410598121E-2</v>
      </c>
      <c r="M119">
        <v>2.1297478004359861E-3</v>
      </c>
      <c r="N119" t="s">
        <v>594</v>
      </c>
      <c r="O119" s="1">
        <v>41608</v>
      </c>
      <c r="P119">
        <v>7.298787773698745E-3</v>
      </c>
      <c r="Q119">
        <v>3.6493938868493731E-6</v>
      </c>
      <c r="R119">
        <v>1.6044905238072119E-2</v>
      </c>
      <c r="S119">
        <v>1.6041255844185271E-2</v>
      </c>
      <c r="T119">
        <v>178</v>
      </c>
    </row>
    <row r="120" spans="1:20" x14ac:dyDescent="0.35">
      <c r="A120" s="1">
        <v>41608</v>
      </c>
      <c r="B120" t="s">
        <v>37</v>
      </c>
      <c r="C120" t="s">
        <v>595</v>
      </c>
      <c r="D120">
        <v>1.022025817907604E-2</v>
      </c>
      <c r="E120" t="s">
        <v>68</v>
      </c>
      <c r="F120" t="s">
        <v>596</v>
      </c>
      <c r="G120" t="s">
        <v>597</v>
      </c>
      <c r="H120">
        <v>1.346918540875988E-2</v>
      </c>
      <c r="I120">
        <v>3.62259788850687E-4</v>
      </c>
      <c r="J120">
        <v>-0.57405380146479312</v>
      </c>
      <c r="K120">
        <v>4.3165607665585144</v>
      </c>
      <c r="L120">
        <v>1.2382406042207819E-2</v>
      </c>
      <c r="M120">
        <v>2.1621478631317788E-3</v>
      </c>
      <c r="N120" t="s">
        <v>598</v>
      </c>
      <c r="O120" s="1">
        <v>41639</v>
      </c>
      <c r="P120">
        <v>8.8725657733201846E-4</v>
      </c>
      <c r="Q120">
        <v>4.4362828866600919E-7</v>
      </c>
      <c r="R120">
        <v>6.3275308255870454E-3</v>
      </c>
      <c r="S120">
        <v>6.3270871972983794E-3</v>
      </c>
      <c r="T120">
        <v>179</v>
      </c>
    </row>
    <row r="121" spans="1:20" x14ac:dyDescent="0.35">
      <c r="A121" s="1">
        <v>41639</v>
      </c>
      <c r="B121" t="s">
        <v>37</v>
      </c>
      <c r="C121" t="s">
        <v>599</v>
      </c>
      <c r="D121">
        <v>1.3017552110044491E-2</v>
      </c>
      <c r="E121" t="s">
        <v>68</v>
      </c>
      <c r="F121" t="s">
        <v>600</v>
      </c>
      <c r="G121" t="s">
        <v>601</v>
      </c>
      <c r="H121">
        <v>1.7383724147281052E-2</v>
      </c>
      <c r="I121">
        <v>5.3896008210330593E-4</v>
      </c>
      <c r="J121">
        <v>0.29869349672801421</v>
      </c>
      <c r="K121">
        <v>3.820558832638929</v>
      </c>
      <c r="L121">
        <v>1.576684390097113E-2</v>
      </c>
      <c r="M121">
        <v>2.7492917909266428E-3</v>
      </c>
      <c r="N121" t="s">
        <v>602</v>
      </c>
      <c r="O121" s="1">
        <v>41670</v>
      </c>
      <c r="P121">
        <v>3.8487275955904288E-2</v>
      </c>
      <c r="Q121">
        <v>1.9243637977952139E-5</v>
      </c>
      <c r="R121">
        <v>-2.095680143777701E-2</v>
      </c>
      <c r="S121">
        <v>-2.097604507575496E-2</v>
      </c>
      <c r="T121">
        <v>180</v>
      </c>
    </row>
    <row r="122" spans="1:20" x14ac:dyDescent="0.35">
      <c r="A122" s="1">
        <v>41670</v>
      </c>
      <c r="B122" t="s">
        <v>37</v>
      </c>
      <c r="C122" t="s">
        <v>603</v>
      </c>
      <c r="D122">
        <v>1.023346566711324E-2</v>
      </c>
      <c r="E122" t="s">
        <v>68</v>
      </c>
      <c r="F122" t="s">
        <v>604</v>
      </c>
      <c r="G122" t="s">
        <v>605</v>
      </c>
      <c r="H122">
        <v>1.371968823533473E-2</v>
      </c>
      <c r="I122">
        <v>4.2255304124245649E-4</v>
      </c>
      <c r="J122">
        <v>0.13567256463137919</v>
      </c>
      <c r="K122">
        <v>3.879221343239994</v>
      </c>
      <c r="L122">
        <v>1.245202911160736E-2</v>
      </c>
      <c r="M122">
        <v>2.2185634444941201E-3</v>
      </c>
      <c r="N122" t="s">
        <v>606</v>
      </c>
      <c r="O122" s="1">
        <v>41698</v>
      </c>
      <c r="P122">
        <v>3.9984640368075593E-2</v>
      </c>
      <c r="Q122">
        <v>1.9992320184037789E-5</v>
      </c>
      <c r="R122">
        <v>3.6128553491298038E-2</v>
      </c>
      <c r="S122">
        <v>3.6108561171114009E-2</v>
      </c>
      <c r="T122">
        <v>181</v>
      </c>
    </row>
    <row r="123" spans="1:20" x14ac:dyDescent="0.35">
      <c r="A123" s="1">
        <v>41698</v>
      </c>
      <c r="B123" t="s">
        <v>37</v>
      </c>
      <c r="C123" t="s">
        <v>607</v>
      </c>
      <c r="D123">
        <v>1.0298748357256089E-2</v>
      </c>
      <c r="E123" t="s">
        <v>68</v>
      </c>
      <c r="F123" t="s">
        <v>608</v>
      </c>
      <c r="G123" t="s">
        <v>609</v>
      </c>
      <c r="H123">
        <v>1.3205685554792391E-2</v>
      </c>
      <c r="I123">
        <v>3.4095621366597441E-4</v>
      </c>
      <c r="J123">
        <v>-0.188185096584743</v>
      </c>
      <c r="K123">
        <v>2.715369095166865</v>
      </c>
      <c r="L123">
        <v>1.218281691379447E-2</v>
      </c>
      <c r="M123">
        <v>1.884068556538384E-3</v>
      </c>
      <c r="N123" t="s">
        <v>610</v>
      </c>
      <c r="O123" s="1">
        <v>41729</v>
      </c>
      <c r="P123">
        <v>2.864259811365288E-3</v>
      </c>
      <c r="Q123">
        <v>1.4321299056826439E-6</v>
      </c>
      <c r="R123">
        <v>-1.1445516299900191E-2</v>
      </c>
      <c r="S123">
        <v>-1.144694842980588E-2</v>
      </c>
      <c r="T123">
        <v>182</v>
      </c>
    </row>
    <row r="124" spans="1:20" x14ac:dyDescent="0.35">
      <c r="A124" s="1">
        <v>41729</v>
      </c>
      <c r="B124" t="s">
        <v>37</v>
      </c>
      <c r="C124" t="s">
        <v>611</v>
      </c>
      <c r="D124">
        <v>1.0124524608246E-2</v>
      </c>
      <c r="E124" t="s">
        <v>68</v>
      </c>
      <c r="F124" t="s">
        <v>612</v>
      </c>
      <c r="G124" t="s">
        <v>613</v>
      </c>
      <c r="H124">
        <v>1.267694650064698E-2</v>
      </c>
      <c r="I124">
        <v>3.4383603351247641E-4</v>
      </c>
      <c r="J124">
        <v>-0.17272828830027401</v>
      </c>
      <c r="K124">
        <v>2.5625829748265998</v>
      </c>
      <c r="L124">
        <v>1.1645438400109551E-2</v>
      </c>
      <c r="M124">
        <v>1.5209137918635509E-3</v>
      </c>
      <c r="N124" t="s">
        <v>614</v>
      </c>
      <c r="O124" s="1">
        <v>41759</v>
      </c>
      <c r="P124">
        <v>1.058593016373788E-3</v>
      </c>
      <c r="Q124">
        <v>5.292965081868939E-7</v>
      </c>
      <c r="R124">
        <v>-3.4421490249731909E-4</v>
      </c>
      <c r="S124">
        <v>-3.4474419900550599E-4</v>
      </c>
      <c r="T124">
        <v>183</v>
      </c>
    </row>
    <row r="125" spans="1:20" x14ac:dyDescent="0.35">
      <c r="A125" s="1">
        <v>41759</v>
      </c>
      <c r="B125" t="s">
        <v>37</v>
      </c>
      <c r="C125" t="s">
        <v>615</v>
      </c>
      <c r="D125">
        <v>9.7530782736824449E-3</v>
      </c>
      <c r="E125" t="s">
        <v>68</v>
      </c>
      <c r="F125" t="s">
        <v>616</v>
      </c>
      <c r="G125" t="s">
        <v>617</v>
      </c>
      <c r="H125">
        <v>1.257210451955887E-2</v>
      </c>
      <c r="I125">
        <v>3.4427492229827279E-4</v>
      </c>
      <c r="J125">
        <v>-0.1942901546579956</v>
      </c>
      <c r="K125">
        <v>2.526298534574249</v>
      </c>
      <c r="L125">
        <v>1.153927975266405E-2</v>
      </c>
      <c r="M125">
        <v>1.786201478981609E-3</v>
      </c>
      <c r="N125" t="s">
        <v>618</v>
      </c>
      <c r="O125" s="1">
        <v>41790</v>
      </c>
      <c r="P125">
        <v>4.2623224425819561E-3</v>
      </c>
      <c r="Q125">
        <v>2.1311612212909781E-6</v>
      </c>
      <c r="R125">
        <v>2.369782823575238E-2</v>
      </c>
      <c r="S125">
        <v>2.3695697074531091E-2</v>
      </c>
      <c r="T125">
        <v>184</v>
      </c>
    </row>
    <row r="126" spans="1:20" x14ac:dyDescent="0.35">
      <c r="A126" s="1">
        <v>41790</v>
      </c>
      <c r="B126" t="s">
        <v>37</v>
      </c>
      <c r="C126" t="s">
        <v>619</v>
      </c>
      <c r="D126">
        <v>9.9770342693595252E-3</v>
      </c>
      <c r="E126" t="s">
        <v>68</v>
      </c>
      <c r="F126" t="s">
        <v>620</v>
      </c>
      <c r="G126" t="s">
        <v>621</v>
      </c>
      <c r="H126">
        <v>1.2806613095069889E-2</v>
      </c>
      <c r="I126">
        <v>3.3907950307137768E-4</v>
      </c>
      <c r="J126">
        <v>-0.2234459622176847</v>
      </c>
      <c r="K126">
        <v>2.5477754311315541</v>
      </c>
      <c r="L126">
        <v>1.178937458585576E-2</v>
      </c>
      <c r="M126">
        <v>1.8123403164962311E-3</v>
      </c>
      <c r="N126" t="s">
        <v>622</v>
      </c>
      <c r="O126" s="1">
        <v>41820</v>
      </c>
      <c r="P126">
        <v>2.403909269187432E-3</v>
      </c>
      <c r="Q126">
        <v>1.201954634593716E-6</v>
      </c>
      <c r="R126">
        <v>1.0892288484274299E-2</v>
      </c>
      <c r="S126">
        <v>1.089108652963971E-2</v>
      </c>
      <c r="T126">
        <v>185</v>
      </c>
    </row>
    <row r="127" spans="1:20" x14ac:dyDescent="0.35">
      <c r="A127" s="1">
        <v>41820</v>
      </c>
      <c r="B127" t="s">
        <v>37</v>
      </c>
      <c r="C127" t="s">
        <v>623</v>
      </c>
      <c r="D127">
        <v>1.001909480663841E-2</v>
      </c>
      <c r="E127" t="s">
        <v>68</v>
      </c>
      <c r="F127" t="s">
        <v>624</v>
      </c>
      <c r="G127" t="s">
        <v>625</v>
      </c>
      <c r="H127">
        <v>1.282254430888843E-2</v>
      </c>
      <c r="I127">
        <v>3.0064452972623491E-4</v>
      </c>
      <c r="J127">
        <v>-0.36690260634867261</v>
      </c>
      <c r="K127">
        <v>2.515123635977532</v>
      </c>
      <c r="L127">
        <v>1.1920610719709721E-2</v>
      </c>
      <c r="M127">
        <v>1.901515913071314E-3</v>
      </c>
      <c r="N127" t="s">
        <v>626</v>
      </c>
      <c r="O127" s="1">
        <v>41851</v>
      </c>
      <c r="P127">
        <v>4.6468404824953069E-3</v>
      </c>
      <c r="Q127">
        <v>2.3234202412476531E-6</v>
      </c>
      <c r="R127">
        <v>-9.0416186133195908E-3</v>
      </c>
      <c r="S127">
        <v>-9.0439420335608391E-3</v>
      </c>
      <c r="T127">
        <v>186</v>
      </c>
    </row>
    <row r="128" spans="1:20" x14ac:dyDescent="0.35">
      <c r="A128" s="1">
        <v>41851</v>
      </c>
      <c r="B128" t="s">
        <v>37</v>
      </c>
      <c r="C128" t="s">
        <v>627</v>
      </c>
      <c r="D128">
        <v>9.1953536645187021E-3</v>
      </c>
      <c r="E128" t="s">
        <v>68</v>
      </c>
      <c r="F128" t="s">
        <v>628</v>
      </c>
      <c r="G128" t="s">
        <v>629</v>
      </c>
      <c r="H128">
        <v>1.182803487294355E-2</v>
      </c>
      <c r="I128">
        <v>3.1317412743148111E-4</v>
      </c>
      <c r="J128">
        <v>-0.34229105661639231</v>
      </c>
      <c r="K128">
        <v>2.415032906674822</v>
      </c>
      <c r="L128">
        <v>1.0888512490649101E-2</v>
      </c>
      <c r="M128">
        <v>1.6931588261304021E-3</v>
      </c>
      <c r="N128" t="s">
        <v>630</v>
      </c>
      <c r="O128" s="1">
        <v>41882</v>
      </c>
      <c r="P128">
        <v>4.3995745825425869E-3</v>
      </c>
      <c r="Q128">
        <v>2.1997872912712931E-6</v>
      </c>
      <c r="R128">
        <v>3.3034830676578128E-2</v>
      </c>
      <c r="S128">
        <v>3.303263088928686E-2</v>
      </c>
      <c r="T128">
        <v>187</v>
      </c>
    </row>
    <row r="129" spans="1:20" x14ac:dyDescent="0.35">
      <c r="A129" s="1">
        <v>41882</v>
      </c>
      <c r="B129" t="s">
        <v>37</v>
      </c>
      <c r="C129" t="s">
        <v>631</v>
      </c>
      <c r="D129">
        <v>9.3039006309327335E-3</v>
      </c>
      <c r="E129" t="s">
        <v>68</v>
      </c>
      <c r="F129" t="s">
        <v>632</v>
      </c>
      <c r="G129" t="s">
        <v>633</v>
      </c>
      <c r="H129">
        <v>1.198755663590827E-2</v>
      </c>
      <c r="I129">
        <v>3.178213752608251E-4</v>
      </c>
      <c r="J129">
        <v>-0.33605996481517131</v>
      </c>
      <c r="K129">
        <v>2.3767824229565888</v>
      </c>
      <c r="L129">
        <v>1.1034092510125789E-2</v>
      </c>
      <c r="M129">
        <v>1.7301918791930611E-3</v>
      </c>
      <c r="N129" t="s">
        <v>634</v>
      </c>
      <c r="O129" s="1">
        <v>41912</v>
      </c>
      <c r="P129">
        <v>7.2389760163782402E-4</v>
      </c>
      <c r="Q129">
        <v>3.6194880081891201E-7</v>
      </c>
      <c r="R129">
        <v>-1.7947667316049291E-2</v>
      </c>
      <c r="S129">
        <v>-1.7948029264850111E-2</v>
      </c>
      <c r="T129">
        <v>188</v>
      </c>
    </row>
    <row r="130" spans="1:20" x14ac:dyDescent="0.35">
      <c r="A130" s="1">
        <v>41912</v>
      </c>
      <c r="B130" t="s">
        <v>37</v>
      </c>
      <c r="C130" t="s">
        <v>635</v>
      </c>
      <c r="D130">
        <v>8.5377781100919852E-3</v>
      </c>
      <c r="E130" t="s">
        <v>68</v>
      </c>
      <c r="F130" t="s">
        <v>636</v>
      </c>
      <c r="G130" t="s">
        <v>637</v>
      </c>
      <c r="H130">
        <v>1.101172237914924E-2</v>
      </c>
      <c r="I130">
        <v>3.2719526207453082E-4</v>
      </c>
      <c r="J130">
        <v>-0.28093370185338512</v>
      </c>
      <c r="K130">
        <v>2.3012809077908458</v>
      </c>
      <c r="L130">
        <v>1.003013659292565E-2</v>
      </c>
      <c r="M130">
        <v>1.4923584828336659E-3</v>
      </c>
      <c r="N130" t="s">
        <v>638</v>
      </c>
      <c r="O130" s="1">
        <v>41943</v>
      </c>
      <c r="P130">
        <v>1.295850373462137E-3</v>
      </c>
      <c r="Q130">
        <v>6.479251867310687E-7</v>
      </c>
      <c r="R130">
        <v>1.9896641741574201E-2</v>
      </c>
      <c r="S130">
        <v>1.9895993816387469E-2</v>
      </c>
      <c r="T130">
        <v>189</v>
      </c>
    </row>
    <row r="131" spans="1:20" x14ac:dyDescent="0.35">
      <c r="A131" s="1">
        <v>41943</v>
      </c>
      <c r="B131" t="s">
        <v>37</v>
      </c>
      <c r="C131" t="s">
        <v>639</v>
      </c>
      <c r="D131">
        <v>8.9786135195665234E-3</v>
      </c>
      <c r="E131" t="s">
        <v>68</v>
      </c>
      <c r="F131" t="s">
        <v>640</v>
      </c>
      <c r="G131" t="s">
        <v>641</v>
      </c>
      <c r="H131">
        <v>1.15220227930022E-2</v>
      </c>
      <c r="I131">
        <v>2.9117941039952401E-4</v>
      </c>
      <c r="J131">
        <v>-0.40062693584608522</v>
      </c>
      <c r="K131">
        <v>2.4188702973569152</v>
      </c>
      <c r="L131">
        <v>1.0648484561803629E-2</v>
      </c>
      <c r="M131">
        <v>1.669871042237106E-3</v>
      </c>
      <c r="N131" t="s">
        <v>642</v>
      </c>
      <c r="O131" s="1">
        <v>41973</v>
      </c>
      <c r="P131">
        <v>4.7745724112695509E-3</v>
      </c>
      <c r="Q131">
        <v>2.3872862056347761E-6</v>
      </c>
      <c r="R131">
        <v>3.1588223999029573E-2</v>
      </c>
      <c r="S131">
        <v>3.1585836712823938E-2</v>
      </c>
      <c r="T131">
        <v>190</v>
      </c>
    </row>
    <row r="132" spans="1:20" x14ac:dyDescent="0.35">
      <c r="A132" s="1">
        <v>41973</v>
      </c>
      <c r="B132" t="s">
        <v>37</v>
      </c>
      <c r="C132" t="s">
        <v>643</v>
      </c>
      <c r="D132">
        <v>1.1268545510907529E-2</v>
      </c>
      <c r="E132" t="s">
        <v>68</v>
      </c>
      <c r="F132" t="s">
        <v>644</v>
      </c>
      <c r="G132" t="s">
        <v>645</v>
      </c>
      <c r="H132">
        <v>1.4132902161859969E-2</v>
      </c>
      <c r="I132">
        <v>3.6924744946169753E-4</v>
      </c>
      <c r="J132">
        <v>7.6187896774543962E-2</v>
      </c>
      <c r="K132">
        <v>2.700996958293036</v>
      </c>
      <c r="L132">
        <v>1.3025159813474879E-2</v>
      </c>
      <c r="M132">
        <v>1.756614302567351E-3</v>
      </c>
      <c r="N132" t="s">
        <v>646</v>
      </c>
      <c r="O132" s="1">
        <v>42004</v>
      </c>
      <c r="P132">
        <v>4.3653578022595618E-2</v>
      </c>
      <c r="Q132">
        <v>2.1826789011297809E-5</v>
      </c>
      <c r="R132">
        <v>3.761073273984315E-3</v>
      </c>
      <c r="S132">
        <v>3.7392464849730178E-3</v>
      </c>
      <c r="T132">
        <v>191</v>
      </c>
    </row>
    <row r="133" spans="1:20" x14ac:dyDescent="0.35">
      <c r="A133" s="1">
        <v>42004</v>
      </c>
      <c r="B133" t="s">
        <v>37</v>
      </c>
      <c r="C133" t="s">
        <v>647</v>
      </c>
      <c r="D133">
        <v>9.7982662208195674E-3</v>
      </c>
      <c r="E133" t="s">
        <v>68</v>
      </c>
      <c r="F133" t="s">
        <v>648</v>
      </c>
      <c r="G133" t="s">
        <v>649</v>
      </c>
      <c r="H133">
        <v>1.215517232381182E-2</v>
      </c>
      <c r="I133">
        <v>2.8924897947773268E-4</v>
      </c>
      <c r="J133">
        <v>-0.48885873876610908</v>
      </c>
      <c r="K133">
        <v>2.5801712102487619</v>
      </c>
      <c r="L133">
        <v>1.128742538537862E-2</v>
      </c>
      <c r="M133">
        <v>1.489159164559054E-3</v>
      </c>
      <c r="N133" t="s">
        <v>650</v>
      </c>
      <c r="O133" s="1">
        <v>42035</v>
      </c>
      <c r="P133">
        <v>5.1710031793203208E-2</v>
      </c>
      <c r="Q133">
        <v>2.585501589660161E-5</v>
      </c>
      <c r="R133">
        <v>-2.331512155874045E-3</v>
      </c>
      <c r="S133">
        <v>-2.3573671717706472E-3</v>
      </c>
      <c r="T133">
        <v>192</v>
      </c>
    </row>
    <row r="134" spans="1:20" x14ac:dyDescent="0.35">
      <c r="A134" s="1">
        <v>42035</v>
      </c>
      <c r="B134" t="s">
        <v>37</v>
      </c>
      <c r="C134" t="s">
        <v>651</v>
      </c>
      <c r="D134">
        <v>9.0579591440222117E-3</v>
      </c>
      <c r="E134" t="s">
        <v>68</v>
      </c>
      <c r="F134" t="s">
        <v>652</v>
      </c>
      <c r="G134" t="s">
        <v>653</v>
      </c>
      <c r="H134">
        <v>1.169839108915746E-2</v>
      </c>
      <c r="I134">
        <v>4.0673379097272991E-4</v>
      </c>
      <c r="J134">
        <v>-0.2337847192868599</v>
      </c>
      <c r="K134">
        <v>2.899358677593471</v>
      </c>
      <c r="L134">
        <v>1.047818971623927E-2</v>
      </c>
      <c r="M134">
        <v>1.420230572217058E-3</v>
      </c>
      <c r="N134" t="s">
        <v>654</v>
      </c>
      <c r="O134" s="1">
        <v>42063</v>
      </c>
      <c r="P134">
        <v>6.8936669044576737E-2</v>
      </c>
      <c r="Q134">
        <v>3.4468334522288372E-5</v>
      </c>
      <c r="R134">
        <v>3.3593867273904177E-2</v>
      </c>
      <c r="S134">
        <v>3.3559398939381889E-2</v>
      </c>
      <c r="T134">
        <v>193</v>
      </c>
    </row>
    <row r="135" spans="1:20" x14ac:dyDescent="0.35">
      <c r="A135" s="1">
        <v>42063</v>
      </c>
      <c r="B135" t="s">
        <v>37</v>
      </c>
      <c r="C135" t="s">
        <v>655</v>
      </c>
      <c r="D135">
        <v>7.6980115139480632E-3</v>
      </c>
      <c r="E135" t="s">
        <v>656</v>
      </c>
      <c r="F135" t="s">
        <v>657</v>
      </c>
      <c r="G135" t="s">
        <v>658</v>
      </c>
      <c r="H135">
        <v>9.9697148912255631E-3</v>
      </c>
      <c r="I135">
        <v>2.6306630371777012E-4</v>
      </c>
      <c r="J135">
        <v>-0.25772693479680248</v>
      </c>
      <c r="K135">
        <v>2.4786189184116849</v>
      </c>
      <c r="L135">
        <v>9.1805159800722527E-3</v>
      </c>
      <c r="M135">
        <v>1.48250446612419E-3</v>
      </c>
      <c r="N135" t="s">
        <v>659</v>
      </c>
      <c r="O135" s="1">
        <v>42094</v>
      </c>
      <c r="P135">
        <v>0.5163051859246518</v>
      </c>
      <c r="Q135">
        <v>2.5815259296232588E-4</v>
      </c>
      <c r="R135">
        <v>-3.9677665207361948E-3</v>
      </c>
      <c r="S135">
        <v>-4.2259191136985209E-3</v>
      </c>
      <c r="T135">
        <v>194</v>
      </c>
    </row>
    <row r="136" spans="1:20" x14ac:dyDescent="0.35">
      <c r="A136" s="1">
        <v>42094</v>
      </c>
      <c r="B136" t="s">
        <v>37</v>
      </c>
      <c r="C136" t="s">
        <v>660</v>
      </c>
      <c r="D136">
        <v>8.594444229778073E-3</v>
      </c>
      <c r="E136" t="s">
        <v>68</v>
      </c>
      <c r="F136" t="s">
        <v>661</v>
      </c>
      <c r="G136" t="s">
        <v>662</v>
      </c>
      <c r="H136">
        <v>1.0941982672410059E-2</v>
      </c>
      <c r="I136">
        <v>2.8742539968530239E-4</v>
      </c>
      <c r="J136">
        <v>-0.4148120504592348</v>
      </c>
      <c r="K136">
        <v>2.5623659160583672</v>
      </c>
      <c r="L136">
        <v>1.007970647335415E-2</v>
      </c>
      <c r="M136">
        <v>1.4852622435760751E-3</v>
      </c>
      <c r="N136" t="s">
        <v>663</v>
      </c>
      <c r="O136" s="1">
        <v>42124</v>
      </c>
      <c r="P136">
        <v>0.5771672781832381</v>
      </c>
      <c r="Q136">
        <v>2.8858363909161911E-4</v>
      </c>
      <c r="R136">
        <v>-4.5087134689687851E-4</v>
      </c>
      <c r="S136">
        <v>-7.3945498598849751E-4</v>
      </c>
      <c r="T136">
        <v>195</v>
      </c>
    </row>
    <row r="137" spans="1:20" x14ac:dyDescent="0.35">
      <c r="A137" s="1">
        <v>42124</v>
      </c>
      <c r="B137" t="s">
        <v>37</v>
      </c>
      <c r="C137" t="s">
        <v>664</v>
      </c>
      <c r="D137">
        <v>8.3896789374238792E-3</v>
      </c>
      <c r="E137" t="s">
        <v>78</v>
      </c>
      <c r="F137" t="s">
        <v>665</v>
      </c>
      <c r="G137" t="s">
        <v>666</v>
      </c>
      <c r="H137">
        <v>1.084832831363994E-2</v>
      </c>
      <c r="I137">
        <v>2.4277364396816791E-4</v>
      </c>
      <c r="J137">
        <v>-0.20053130528722729</v>
      </c>
      <c r="K137">
        <v>2.292289072686263</v>
      </c>
      <c r="L137">
        <v>1.012000738173544E-2</v>
      </c>
      <c r="M137">
        <v>1.7303284443115591E-3</v>
      </c>
      <c r="N137" t="s">
        <v>667</v>
      </c>
      <c r="O137" s="1">
        <v>42155</v>
      </c>
      <c r="P137">
        <v>0.74009513754983225</v>
      </c>
      <c r="Q137">
        <v>3.7004756877491608E-4</v>
      </c>
      <c r="R137">
        <v>7.4176285122398416E-3</v>
      </c>
      <c r="S137">
        <v>7.0475809434649263E-3</v>
      </c>
      <c r="T137">
        <v>196</v>
      </c>
    </row>
    <row r="138" spans="1:20" x14ac:dyDescent="0.35">
      <c r="A138" s="1">
        <v>42155</v>
      </c>
      <c r="B138" t="s">
        <v>37</v>
      </c>
      <c r="C138" t="s">
        <v>668</v>
      </c>
      <c r="D138">
        <v>8.7552409610906472E-3</v>
      </c>
      <c r="E138" t="s">
        <v>78</v>
      </c>
      <c r="F138" t="s">
        <v>669</v>
      </c>
      <c r="G138" t="s">
        <v>670</v>
      </c>
      <c r="H138">
        <v>1.1001057133564361E-2</v>
      </c>
      <c r="I138">
        <v>2.3350874118798409E-4</v>
      </c>
      <c r="J138">
        <v>-0.13931031023401039</v>
      </c>
      <c r="K138">
        <v>2.2790702413563402</v>
      </c>
      <c r="L138">
        <v>1.0300530910000411E-2</v>
      </c>
      <c r="M138">
        <v>1.545289948909765E-3</v>
      </c>
      <c r="N138" t="s">
        <v>671</v>
      </c>
      <c r="O138" s="1">
        <v>42185</v>
      </c>
      <c r="P138">
        <v>6.6285537087708924E-3</v>
      </c>
      <c r="Q138">
        <v>3.314276854385446E-6</v>
      </c>
      <c r="R138">
        <v>-1.7928042562730041E-2</v>
      </c>
      <c r="S138">
        <v>-1.7931356839584429E-2</v>
      </c>
      <c r="T138">
        <v>197</v>
      </c>
    </row>
    <row r="139" spans="1:20" x14ac:dyDescent="0.35">
      <c r="A139" s="1">
        <v>42185</v>
      </c>
      <c r="B139" t="s">
        <v>37</v>
      </c>
      <c r="C139" t="s">
        <v>672</v>
      </c>
      <c r="D139">
        <v>8.2399709552552387E-3</v>
      </c>
      <c r="E139" t="s">
        <v>78</v>
      </c>
      <c r="F139" t="s">
        <v>673</v>
      </c>
      <c r="G139" t="s">
        <v>674</v>
      </c>
      <c r="H139">
        <v>1.058135736824454E-2</v>
      </c>
      <c r="I139">
        <v>2.3941162749063991E-4</v>
      </c>
      <c r="J139">
        <v>-0.1141603805242075</v>
      </c>
      <c r="K139">
        <v>2.215848656912121</v>
      </c>
      <c r="L139">
        <v>9.863122485772622E-3</v>
      </c>
      <c r="M139">
        <v>1.623151530517383E-3</v>
      </c>
      <c r="N139" t="s">
        <v>675</v>
      </c>
      <c r="O139" s="1">
        <v>42216</v>
      </c>
      <c r="P139">
        <v>9.7440059330747286E-4</v>
      </c>
      <c r="Q139">
        <v>4.8720029665373641E-7</v>
      </c>
      <c r="R139">
        <v>1.7610350144591069E-2</v>
      </c>
      <c r="S139">
        <v>1.7609862944294421E-2</v>
      </c>
      <c r="T139">
        <v>198</v>
      </c>
    </row>
    <row r="140" spans="1:20" x14ac:dyDescent="0.35">
      <c r="A140" s="1">
        <v>42216</v>
      </c>
      <c r="B140" t="s">
        <v>37</v>
      </c>
      <c r="C140" t="s">
        <v>676</v>
      </c>
      <c r="D140">
        <v>8.3620357395477862E-3</v>
      </c>
      <c r="E140" t="s">
        <v>656</v>
      </c>
      <c r="F140" t="s">
        <v>677</v>
      </c>
      <c r="G140" t="s">
        <v>678</v>
      </c>
      <c r="H140">
        <v>1.0746598159686149E-2</v>
      </c>
      <c r="I140">
        <v>2.3155617959840511E-4</v>
      </c>
      <c r="J140">
        <v>-0.14104775167092909</v>
      </c>
      <c r="K140">
        <v>2.198284048275557</v>
      </c>
      <c r="L140">
        <v>1.005192962089093E-2</v>
      </c>
      <c r="M140">
        <v>1.6898938813431461E-3</v>
      </c>
      <c r="N140" t="s">
        <v>679</v>
      </c>
      <c r="O140" s="1">
        <v>42247</v>
      </c>
      <c r="P140">
        <v>9.4769889538257657E-2</v>
      </c>
      <c r="Q140">
        <v>4.7384944769128828E-5</v>
      </c>
      <c r="R140">
        <v>-3.626317617843397E-2</v>
      </c>
      <c r="S140">
        <v>-3.6310561123203099E-2</v>
      </c>
      <c r="T140">
        <v>199</v>
      </c>
    </row>
    <row r="141" spans="1:20" x14ac:dyDescent="0.35">
      <c r="A141" s="1">
        <v>42247</v>
      </c>
      <c r="B141" t="s">
        <v>37</v>
      </c>
      <c r="C141" t="s">
        <v>680</v>
      </c>
      <c r="D141">
        <v>7.8234167774568798E-3</v>
      </c>
      <c r="E141" t="s">
        <v>78</v>
      </c>
      <c r="F141" t="s">
        <v>681</v>
      </c>
      <c r="G141" t="s">
        <v>682</v>
      </c>
      <c r="H141">
        <v>1.0571113206488141E-2</v>
      </c>
      <c r="I141">
        <v>3.2215703496729561E-4</v>
      </c>
      <c r="J141">
        <v>-0.3712326742271575</v>
      </c>
      <c r="K141">
        <v>3.149721349612256</v>
      </c>
      <c r="L141">
        <v>9.6046421015862499E-3</v>
      </c>
      <c r="M141">
        <v>1.78122532412937E-3</v>
      </c>
      <c r="N141" t="s">
        <v>683</v>
      </c>
      <c r="O141" s="1">
        <v>42277</v>
      </c>
      <c r="P141">
        <v>0.12687326653976069</v>
      </c>
      <c r="Q141">
        <v>6.3436633269880376E-5</v>
      </c>
      <c r="R141">
        <v>-1.1872275652468669E-2</v>
      </c>
      <c r="S141">
        <v>-1.193571228573855E-2</v>
      </c>
      <c r="T141">
        <v>200</v>
      </c>
    </row>
    <row r="142" spans="1:20" x14ac:dyDescent="0.35">
      <c r="A142" s="1">
        <v>42277</v>
      </c>
      <c r="B142" t="s">
        <v>37</v>
      </c>
      <c r="C142" t="s">
        <v>684</v>
      </c>
      <c r="D142">
        <v>5.7096792679835803E-3</v>
      </c>
      <c r="E142" t="s">
        <v>656</v>
      </c>
      <c r="F142" t="s">
        <v>685</v>
      </c>
      <c r="G142" t="s">
        <v>686</v>
      </c>
      <c r="H142">
        <v>8.3045739870788223E-3</v>
      </c>
      <c r="I142">
        <v>3.8317564331281201E-4</v>
      </c>
      <c r="J142">
        <v>-0.48296350132572308</v>
      </c>
      <c r="K142">
        <v>2.820311193781968</v>
      </c>
      <c r="L142">
        <v>7.1550470571403856E-3</v>
      </c>
      <c r="M142">
        <v>1.445367789156806E-3</v>
      </c>
      <c r="N142" t="s">
        <v>687</v>
      </c>
      <c r="O142" s="1">
        <v>42308</v>
      </c>
      <c r="P142">
        <v>0.20957020110950961</v>
      </c>
      <c r="Q142">
        <v>1.047851005547548E-4</v>
      </c>
      <c r="R142">
        <v>4.6675628001302587E-2</v>
      </c>
      <c r="S142">
        <v>4.6570842900747832E-2</v>
      </c>
      <c r="T142">
        <v>201</v>
      </c>
    </row>
    <row r="143" spans="1:20" x14ac:dyDescent="0.35">
      <c r="A143" s="1">
        <v>42308</v>
      </c>
      <c r="B143" t="s">
        <v>37</v>
      </c>
      <c r="C143" t="s">
        <v>688</v>
      </c>
      <c r="D143">
        <v>8.5762298284855314E-3</v>
      </c>
      <c r="E143" t="s">
        <v>78</v>
      </c>
      <c r="F143" t="s">
        <v>689</v>
      </c>
      <c r="G143" t="s">
        <v>690</v>
      </c>
      <c r="H143">
        <v>1.165810993363839E-2</v>
      </c>
      <c r="I143">
        <v>2.2822006891264741E-4</v>
      </c>
      <c r="J143">
        <v>-0.15969607510582351</v>
      </c>
      <c r="K143">
        <v>2.2611823930830131</v>
      </c>
      <c r="L143">
        <v>1.0973449726900449E-2</v>
      </c>
      <c r="M143">
        <v>2.3972198984149201E-3</v>
      </c>
      <c r="N143" t="s">
        <v>691</v>
      </c>
      <c r="O143" s="1">
        <v>42338</v>
      </c>
      <c r="P143">
        <v>0.37281272980426061</v>
      </c>
      <c r="Q143">
        <v>1.8640636490213031E-4</v>
      </c>
      <c r="R143">
        <v>9.1923069922148211E-5</v>
      </c>
      <c r="S143">
        <v>-9.4483294979982101E-5</v>
      </c>
      <c r="T143">
        <v>202</v>
      </c>
    </row>
    <row r="144" spans="1:20" x14ac:dyDescent="0.35">
      <c r="A144" s="1">
        <v>42338</v>
      </c>
      <c r="B144" t="s">
        <v>37</v>
      </c>
      <c r="C144" t="s">
        <v>692</v>
      </c>
      <c r="D144">
        <v>8.0241207471523184E-3</v>
      </c>
      <c r="E144" t="s">
        <v>78</v>
      </c>
      <c r="F144" t="s">
        <v>693</v>
      </c>
      <c r="G144" t="s">
        <v>694</v>
      </c>
      <c r="H144">
        <v>1.0902498461397391E-2</v>
      </c>
      <c r="I144">
        <v>2.6047651699220181E-4</v>
      </c>
      <c r="J144">
        <v>-0.32848298010958421</v>
      </c>
      <c r="K144">
        <v>2.679342037258448</v>
      </c>
      <c r="L144">
        <v>1.012106891042079E-2</v>
      </c>
      <c r="M144">
        <v>2.0969481632684681E-3</v>
      </c>
      <c r="N144" t="s">
        <v>695</v>
      </c>
      <c r="O144" s="1">
        <v>42369</v>
      </c>
      <c r="P144">
        <v>7.831143513465437E-2</v>
      </c>
      <c r="Q144">
        <v>3.9155717567327193E-5</v>
      </c>
      <c r="R144">
        <v>-9.5099571802652778E-3</v>
      </c>
      <c r="S144">
        <v>-9.5491128978326054E-3</v>
      </c>
      <c r="T144">
        <v>203</v>
      </c>
    </row>
    <row r="145" spans="1:20" x14ac:dyDescent="0.35">
      <c r="A145" s="1">
        <v>42369</v>
      </c>
      <c r="B145" t="s">
        <v>37</v>
      </c>
      <c r="C145" t="s">
        <v>696</v>
      </c>
      <c r="D145">
        <v>7.0722091935275962E-3</v>
      </c>
      <c r="E145" t="s">
        <v>78</v>
      </c>
      <c r="F145" t="s">
        <v>697</v>
      </c>
      <c r="G145" t="s">
        <v>698</v>
      </c>
      <c r="H145">
        <v>1.034389469868106E-2</v>
      </c>
      <c r="I145">
        <v>2.5283450989413062E-4</v>
      </c>
      <c r="J145">
        <v>-0.26587313930788059</v>
      </c>
      <c r="K145">
        <v>2.7508991906161722</v>
      </c>
      <c r="L145">
        <v>9.5853911689986714E-3</v>
      </c>
      <c r="M145">
        <v>2.5131819754710752E-3</v>
      </c>
      <c r="N145" t="s">
        <v>699</v>
      </c>
      <c r="O145" s="1">
        <v>42400</v>
      </c>
      <c r="P145">
        <v>1.230475136038828E-3</v>
      </c>
      <c r="Q145">
        <v>6.1523756801941385E-7</v>
      </c>
      <c r="R145">
        <v>-1.9055192002090798E-2</v>
      </c>
      <c r="S145">
        <v>-1.9055807239658822E-2</v>
      </c>
      <c r="T145">
        <v>204</v>
      </c>
    </row>
    <row r="146" spans="1:20" x14ac:dyDescent="0.35">
      <c r="A146" s="1">
        <v>42400</v>
      </c>
      <c r="B146" t="s">
        <v>37</v>
      </c>
      <c r="C146" t="s">
        <v>700</v>
      </c>
      <c r="D146">
        <v>5.3982757330140341E-3</v>
      </c>
      <c r="E146" t="s">
        <v>701</v>
      </c>
      <c r="F146" t="s">
        <v>702</v>
      </c>
      <c r="G146" t="s">
        <v>703</v>
      </c>
      <c r="H146">
        <v>8.2827747218386927E-3</v>
      </c>
      <c r="I146">
        <v>3.3043069811023368E-4</v>
      </c>
      <c r="J146">
        <v>-0.36630202965088321</v>
      </c>
      <c r="K146">
        <v>2.5883166639806698</v>
      </c>
      <c r="L146">
        <v>7.2914826275079919E-3</v>
      </c>
      <c r="M146">
        <v>1.893206894493958E-3</v>
      </c>
      <c r="N146" t="s">
        <v>704</v>
      </c>
      <c r="O146" s="1">
        <v>42429</v>
      </c>
      <c r="P146">
        <v>0.234117788203167</v>
      </c>
      <c r="Q146">
        <v>1.170588941015835E-4</v>
      </c>
      <c r="R146">
        <v>5.5706650878578189E-3</v>
      </c>
      <c r="S146">
        <v>5.4536061937562356E-3</v>
      </c>
      <c r="T146">
        <v>205</v>
      </c>
    </row>
    <row r="147" spans="1:20" x14ac:dyDescent="0.35">
      <c r="A147" s="1">
        <v>42429</v>
      </c>
      <c r="B147" t="s">
        <v>37</v>
      </c>
      <c r="C147" t="s">
        <v>705</v>
      </c>
      <c r="D147">
        <v>6.9758798693533176E-3</v>
      </c>
      <c r="E147" t="s">
        <v>78</v>
      </c>
      <c r="F147" t="s">
        <v>706</v>
      </c>
      <c r="G147" t="s">
        <v>707</v>
      </c>
      <c r="H147">
        <v>9.9626883729009661E-3</v>
      </c>
      <c r="I147">
        <v>3.4692406078696907E-4</v>
      </c>
      <c r="J147">
        <v>-0.39114735876590251</v>
      </c>
      <c r="K147">
        <v>2.8054838434630951</v>
      </c>
      <c r="L147">
        <v>8.9219161905400579E-3</v>
      </c>
      <c r="M147">
        <v>1.9460363211867399E-3</v>
      </c>
      <c r="N147" t="s">
        <v>708</v>
      </c>
      <c r="O147" s="1">
        <v>42460</v>
      </c>
      <c r="P147">
        <v>0.23358019445924211</v>
      </c>
      <c r="Q147">
        <v>1.16790097229621E-4</v>
      </c>
      <c r="R147">
        <v>3.7260832462435792E-2</v>
      </c>
      <c r="S147">
        <v>3.7144042365206173E-2</v>
      </c>
      <c r="T147">
        <v>206</v>
      </c>
    </row>
    <row r="148" spans="1:20" x14ac:dyDescent="0.35">
      <c r="A148" s="1">
        <v>42460</v>
      </c>
      <c r="B148" t="s">
        <v>37</v>
      </c>
      <c r="C148" t="s">
        <v>709</v>
      </c>
      <c r="D148">
        <v>7.631415277812522E-3</v>
      </c>
      <c r="E148" t="s">
        <v>78</v>
      </c>
      <c r="F148" t="s">
        <v>710</v>
      </c>
      <c r="G148" t="s">
        <v>711</v>
      </c>
      <c r="H148">
        <v>1.04960373029135E-2</v>
      </c>
      <c r="I148">
        <v>2.7588483097656989E-4</v>
      </c>
      <c r="J148">
        <v>-0.34866511597760852</v>
      </c>
      <c r="K148">
        <v>2.6641294782429701</v>
      </c>
      <c r="L148">
        <v>9.6683828099837898E-3</v>
      </c>
      <c r="M148">
        <v>2.0369675321712682E-3</v>
      </c>
      <c r="N148" t="s">
        <v>712</v>
      </c>
      <c r="O148" s="1">
        <v>42490</v>
      </c>
      <c r="P148">
        <v>4.9794100884105449E-2</v>
      </c>
      <c r="Q148">
        <v>2.4897050442052721E-5</v>
      </c>
      <c r="R148">
        <v>3.141964850162608E-3</v>
      </c>
      <c r="S148">
        <v>3.1170677997205548E-3</v>
      </c>
      <c r="T148">
        <v>207</v>
      </c>
    </row>
    <row r="149" spans="1:20" x14ac:dyDescent="0.35">
      <c r="A149" s="1">
        <v>42490</v>
      </c>
      <c r="B149" t="s">
        <v>37</v>
      </c>
      <c r="C149" t="s">
        <v>713</v>
      </c>
      <c r="D149">
        <v>5.8642907087802388E-3</v>
      </c>
      <c r="E149" t="s">
        <v>78</v>
      </c>
      <c r="F149" t="s">
        <v>714</v>
      </c>
      <c r="G149" t="s">
        <v>715</v>
      </c>
      <c r="H149">
        <v>8.8473956139671506E-3</v>
      </c>
      <c r="I149">
        <v>2.5928761887995008E-4</v>
      </c>
      <c r="J149">
        <v>-0.34659014566652468</v>
      </c>
      <c r="K149">
        <v>2.834630588179234</v>
      </c>
      <c r="L149">
        <v>8.0695327573273006E-3</v>
      </c>
      <c r="M149">
        <v>2.2052420485470618E-3</v>
      </c>
      <c r="N149" t="s">
        <v>716</v>
      </c>
      <c r="O149" s="1">
        <v>42521</v>
      </c>
      <c r="P149">
        <v>1.5541781037401489E-2</v>
      </c>
      <c r="Q149">
        <v>7.7708905187007454E-6</v>
      </c>
      <c r="R149">
        <v>1.060194242814773E-2</v>
      </c>
      <c r="S149">
        <v>1.0594171537629029E-2</v>
      </c>
      <c r="T149">
        <v>208</v>
      </c>
    </row>
    <row r="150" spans="1:20" x14ac:dyDescent="0.35">
      <c r="A150" s="1">
        <v>42521</v>
      </c>
      <c r="B150" t="s">
        <v>37</v>
      </c>
      <c r="C150" t="s">
        <v>717</v>
      </c>
      <c r="D150">
        <v>6.1748787433552766E-3</v>
      </c>
      <c r="E150" t="s">
        <v>78</v>
      </c>
      <c r="F150" t="s">
        <v>718</v>
      </c>
      <c r="G150" t="s">
        <v>719</v>
      </c>
      <c r="H150">
        <v>8.5413496242167306E-3</v>
      </c>
      <c r="I150">
        <v>2.7490378885648188E-4</v>
      </c>
      <c r="J150">
        <v>-0.25975197276297368</v>
      </c>
      <c r="K150">
        <v>2.9037251522621008</v>
      </c>
      <c r="L150">
        <v>7.7166382576472851E-3</v>
      </c>
      <c r="M150">
        <v>1.541759514292008E-3</v>
      </c>
      <c r="N150" t="s">
        <v>720</v>
      </c>
      <c r="O150" s="1">
        <v>42551</v>
      </c>
      <c r="P150">
        <v>1.147838215667215E-2</v>
      </c>
      <c r="Q150">
        <v>5.7391910783360748E-6</v>
      </c>
      <c r="R150">
        <v>1.357294801862105E-2</v>
      </c>
      <c r="S150">
        <v>1.356720882754271E-2</v>
      </c>
      <c r="T150">
        <v>209</v>
      </c>
    </row>
    <row r="151" spans="1:20" x14ac:dyDescent="0.35">
      <c r="A151" s="1">
        <v>42551</v>
      </c>
      <c r="B151" t="s">
        <v>37</v>
      </c>
      <c r="C151" t="s">
        <v>721</v>
      </c>
      <c r="D151">
        <v>6.6450428087447416E-3</v>
      </c>
      <c r="E151" t="s">
        <v>78</v>
      </c>
      <c r="F151" t="s">
        <v>722</v>
      </c>
      <c r="G151" t="s">
        <v>723</v>
      </c>
      <c r="H151">
        <v>9.288264747768938E-3</v>
      </c>
      <c r="I151">
        <v>2.6925521653676647E-4</v>
      </c>
      <c r="J151">
        <v>-0.43235006243388507</v>
      </c>
      <c r="K151">
        <v>3.0523845373253362</v>
      </c>
      <c r="L151">
        <v>8.4804990981586382E-3</v>
      </c>
      <c r="M151">
        <v>1.835456289413897E-3</v>
      </c>
      <c r="N151" t="s">
        <v>724</v>
      </c>
      <c r="O151" s="1">
        <v>42582</v>
      </c>
      <c r="P151">
        <v>4.2489823664122808E-3</v>
      </c>
      <c r="Q151">
        <v>2.1244911832061399E-6</v>
      </c>
      <c r="R151">
        <v>2.39655349075177E-2</v>
      </c>
      <c r="S151">
        <v>2.3963410416334499E-2</v>
      </c>
      <c r="T151">
        <v>210</v>
      </c>
    </row>
    <row r="152" spans="1:20" x14ac:dyDescent="0.35">
      <c r="A152" s="1">
        <v>42582</v>
      </c>
      <c r="B152" t="s">
        <v>37</v>
      </c>
      <c r="C152" t="s">
        <v>725</v>
      </c>
      <c r="D152">
        <v>7.1534804622963534E-3</v>
      </c>
      <c r="E152" t="s">
        <v>78</v>
      </c>
      <c r="F152" t="s">
        <v>726</v>
      </c>
      <c r="G152" t="s">
        <v>727</v>
      </c>
      <c r="H152">
        <v>9.9522363349593898E-3</v>
      </c>
      <c r="I152">
        <v>2.460608606849397E-4</v>
      </c>
      <c r="J152">
        <v>-0.42654159012788262</v>
      </c>
      <c r="K152">
        <v>2.9642572186763672</v>
      </c>
      <c r="L152">
        <v>9.2140537529045701E-3</v>
      </c>
      <c r="M152">
        <v>2.0605732906082172E-3</v>
      </c>
      <c r="N152" t="s">
        <v>728</v>
      </c>
      <c r="O152" s="1">
        <v>42613</v>
      </c>
      <c r="P152">
        <v>3.4875426558726073E-2</v>
      </c>
      <c r="Q152">
        <v>1.743771327936304E-5</v>
      </c>
      <c r="R152">
        <v>-4.084604217994235E-3</v>
      </c>
      <c r="S152">
        <v>-4.102041931273598E-3</v>
      </c>
      <c r="T152">
        <v>211</v>
      </c>
    </row>
    <row r="153" spans="1:20" x14ac:dyDescent="0.35">
      <c r="A153" s="1">
        <v>42613</v>
      </c>
      <c r="B153" t="s">
        <v>37</v>
      </c>
      <c r="C153" t="s">
        <v>729</v>
      </c>
      <c r="D153">
        <v>7.0450705437227227E-3</v>
      </c>
      <c r="E153" t="s">
        <v>78</v>
      </c>
      <c r="F153" t="s">
        <v>730</v>
      </c>
      <c r="G153" t="s">
        <v>731</v>
      </c>
      <c r="H153">
        <v>9.4412707529797427E-3</v>
      </c>
      <c r="I153">
        <v>2.5739174977116252E-4</v>
      </c>
      <c r="J153">
        <v>-0.40145532466319578</v>
      </c>
      <c r="K153">
        <v>2.8090794967766959</v>
      </c>
      <c r="L153">
        <v>8.6690955036662545E-3</v>
      </c>
      <c r="M153">
        <v>1.624024959943532E-3</v>
      </c>
      <c r="N153" t="s">
        <v>732</v>
      </c>
      <c r="O153" s="1">
        <v>42643</v>
      </c>
      <c r="P153">
        <v>5.0018340287212582E-4</v>
      </c>
      <c r="Q153">
        <v>2.500917014360629E-7</v>
      </c>
      <c r="R153">
        <v>-4.5660843470880917E-6</v>
      </c>
      <c r="S153">
        <v>-4.8161760485241542E-6</v>
      </c>
      <c r="T153">
        <v>212</v>
      </c>
    </row>
    <row r="154" spans="1:20" x14ac:dyDescent="0.35">
      <c r="A154" s="1">
        <v>42643</v>
      </c>
      <c r="B154" t="s">
        <v>37</v>
      </c>
      <c r="C154" t="s">
        <v>733</v>
      </c>
      <c r="D154">
        <v>6.1360140574188739E-3</v>
      </c>
      <c r="E154" t="s">
        <v>78</v>
      </c>
      <c r="F154" t="s">
        <v>734</v>
      </c>
      <c r="G154" t="s">
        <v>735</v>
      </c>
      <c r="H154">
        <v>8.2040942276822831E-3</v>
      </c>
      <c r="I154">
        <v>3.2034264427434399E-4</v>
      </c>
      <c r="J154">
        <v>-0.53356522940948359</v>
      </c>
      <c r="K154">
        <v>3.1260264548111829</v>
      </c>
      <c r="L154">
        <v>7.243066294859251E-3</v>
      </c>
      <c r="M154">
        <v>1.1070522374403769E-3</v>
      </c>
      <c r="N154" t="s">
        <v>736</v>
      </c>
      <c r="O154" s="1">
        <v>42674</v>
      </c>
      <c r="P154">
        <v>0.18208461405225029</v>
      </c>
      <c r="Q154">
        <v>9.1042307026125132E-5</v>
      </c>
      <c r="R154">
        <v>-2.318482069532583E-2</v>
      </c>
      <c r="S154">
        <v>-2.327586300235196E-2</v>
      </c>
      <c r="T154">
        <v>213</v>
      </c>
    </row>
    <row r="155" spans="1:20" x14ac:dyDescent="0.35">
      <c r="A155" s="1">
        <v>42674</v>
      </c>
      <c r="B155" t="s">
        <v>37</v>
      </c>
      <c r="C155" t="s">
        <v>737</v>
      </c>
      <c r="D155">
        <v>6.6036399545970747E-3</v>
      </c>
      <c r="E155" t="s">
        <v>738</v>
      </c>
      <c r="F155" t="s">
        <v>739</v>
      </c>
      <c r="G155" t="s">
        <v>740</v>
      </c>
      <c r="H155">
        <v>8.607440727163582E-3</v>
      </c>
      <c r="I155">
        <v>2.5069125169022301E-4</v>
      </c>
      <c r="J155">
        <v>-0.52904184291490519</v>
      </c>
      <c r="K155">
        <v>3.0818705501209189</v>
      </c>
      <c r="L155">
        <v>7.8553669720929139E-3</v>
      </c>
      <c r="M155">
        <v>1.251727017495839E-3</v>
      </c>
      <c r="N155" t="s">
        <v>741</v>
      </c>
      <c r="O155" s="1">
        <v>42704</v>
      </c>
      <c r="P155">
        <v>0.53604895318260859</v>
      </c>
      <c r="Q155">
        <v>2.680244765913043E-4</v>
      </c>
      <c r="R155">
        <v>3.1125927559682381E-2</v>
      </c>
      <c r="S155">
        <v>3.0857903083091071E-2</v>
      </c>
      <c r="T155">
        <v>214</v>
      </c>
    </row>
    <row r="156" spans="1:20" x14ac:dyDescent="0.35">
      <c r="A156" s="1">
        <v>42704</v>
      </c>
      <c r="B156" t="s">
        <v>37</v>
      </c>
      <c r="C156" t="s">
        <v>742</v>
      </c>
      <c r="D156">
        <v>3.827650895191795E-3</v>
      </c>
      <c r="E156" t="s">
        <v>743</v>
      </c>
      <c r="F156" t="s">
        <v>744</v>
      </c>
      <c r="G156" t="s">
        <v>745</v>
      </c>
      <c r="H156">
        <v>6.132258900892619E-3</v>
      </c>
      <c r="I156">
        <v>2.3030326389220559E-4</v>
      </c>
      <c r="J156">
        <v>-3.6795772132439723E-2</v>
      </c>
      <c r="K156">
        <v>2.4941585481863182</v>
      </c>
      <c r="L156">
        <v>5.4413491092160024E-3</v>
      </c>
      <c r="M156">
        <v>1.613698214024207E-3</v>
      </c>
      <c r="N156" t="s">
        <v>746</v>
      </c>
      <c r="O156" s="1">
        <v>42735</v>
      </c>
      <c r="P156">
        <v>0.35925860865828629</v>
      </c>
      <c r="Q156">
        <v>1.7962930432914321E-4</v>
      </c>
      <c r="R156">
        <v>1.2882206823008811E-2</v>
      </c>
      <c r="S156">
        <v>1.270257751867966E-2</v>
      </c>
      <c r="T156">
        <v>215</v>
      </c>
    </row>
    <row r="157" spans="1:20" x14ac:dyDescent="0.35">
      <c r="A157" s="1">
        <v>42735</v>
      </c>
      <c r="B157" t="s">
        <v>37</v>
      </c>
      <c r="C157" t="s">
        <v>747</v>
      </c>
      <c r="D157">
        <v>6.3335631566924563E-3</v>
      </c>
      <c r="E157" t="s">
        <v>59</v>
      </c>
      <c r="F157" t="s">
        <v>748</v>
      </c>
      <c r="G157" t="s">
        <v>749</v>
      </c>
      <c r="H157">
        <v>8.6610689603090572E-3</v>
      </c>
      <c r="I157">
        <v>2.718986464762572E-4</v>
      </c>
      <c r="J157">
        <v>-0.73454815003396101</v>
      </c>
      <c r="K157">
        <v>3.3817892496420292</v>
      </c>
      <c r="L157">
        <v>7.8453730208802863E-3</v>
      </c>
      <c r="M157">
        <v>1.51180986418783E-3</v>
      </c>
      <c r="N157" t="s">
        <v>750</v>
      </c>
      <c r="O157" s="1">
        <v>42766</v>
      </c>
      <c r="P157">
        <v>0.50249039609490309</v>
      </c>
      <c r="Q157">
        <v>2.5124519804745158E-4</v>
      </c>
      <c r="R157">
        <v>6.1910754502407916E-3</v>
      </c>
      <c r="S157">
        <v>5.939830252193341E-3</v>
      </c>
      <c r="T157">
        <v>216</v>
      </c>
    </row>
    <row r="158" spans="1:20" x14ac:dyDescent="0.35">
      <c r="A158" s="1">
        <v>42766</v>
      </c>
      <c r="B158" t="s">
        <v>37</v>
      </c>
      <c r="C158" t="s">
        <v>751</v>
      </c>
      <c r="D158">
        <v>6.2785434646680819E-3</v>
      </c>
      <c r="E158" t="s">
        <v>59</v>
      </c>
      <c r="F158" t="s">
        <v>752</v>
      </c>
      <c r="G158" t="s">
        <v>753</v>
      </c>
      <c r="H158">
        <v>8.4640189330100046E-3</v>
      </c>
      <c r="I158">
        <v>3.1520295005120459E-4</v>
      </c>
      <c r="J158">
        <v>-0.65447913617291364</v>
      </c>
      <c r="K158">
        <v>3.2993946369888998</v>
      </c>
      <c r="L158">
        <v>7.5184100828563907E-3</v>
      </c>
      <c r="M158">
        <v>1.239866618188309E-3</v>
      </c>
      <c r="N158" t="s">
        <v>754</v>
      </c>
      <c r="O158" s="1">
        <v>42794</v>
      </c>
      <c r="P158">
        <v>6.860155395037415E-2</v>
      </c>
      <c r="Q158">
        <v>3.4300776975187077E-5</v>
      </c>
      <c r="R158">
        <v>3.082886177386468E-2</v>
      </c>
      <c r="S158">
        <v>3.079456099688949E-2</v>
      </c>
      <c r="T158">
        <v>217</v>
      </c>
    </row>
    <row r="159" spans="1:20" x14ac:dyDescent="0.35">
      <c r="A159" s="1">
        <v>42794</v>
      </c>
      <c r="B159" t="s">
        <v>37</v>
      </c>
      <c r="C159" t="s">
        <v>755</v>
      </c>
      <c r="D159">
        <v>5.7611624790448179E-3</v>
      </c>
      <c r="E159" t="s">
        <v>59</v>
      </c>
      <c r="F159" t="s">
        <v>756</v>
      </c>
      <c r="G159" t="s">
        <v>757</v>
      </c>
      <c r="H159">
        <v>7.9521103541626455E-3</v>
      </c>
      <c r="I159">
        <v>3.4034888255584912E-4</v>
      </c>
      <c r="J159">
        <v>-0.65828789229112628</v>
      </c>
      <c r="K159">
        <v>3.1978595535897592</v>
      </c>
      <c r="L159">
        <v>6.931063706495098E-3</v>
      </c>
      <c r="M159">
        <v>1.1699012274502801E-3</v>
      </c>
      <c r="N159" t="s">
        <v>758</v>
      </c>
      <c r="O159" s="1">
        <v>42825</v>
      </c>
      <c r="P159">
        <v>7.5678071192478269E-2</v>
      </c>
      <c r="Q159">
        <v>3.7839035596239133E-5</v>
      </c>
      <c r="R159">
        <v>-7.8161693282289696E-3</v>
      </c>
      <c r="S159">
        <v>-7.8540083638252087E-3</v>
      </c>
      <c r="T159">
        <v>218</v>
      </c>
    </row>
    <row r="160" spans="1:20" x14ac:dyDescent="0.35">
      <c r="A160" s="1">
        <v>42825</v>
      </c>
      <c r="B160" t="s">
        <v>37</v>
      </c>
      <c r="C160" t="s">
        <v>759</v>
      </c>
      <c r="D160">
        <v>6.1141295966256294E-3</v>
      </c>
      <c r="E160" t="s">
        <v>760</v>
      </c>
      <c r="F160" t="s">
        <v>761</v>
      </c>
      <c r="G160" t="s">
        <v>16</v>
      </c>
      <c r="H160">
        <v>6.7782639868901396E-3</v>
      </c>
      <c r="I160">
        <v>2.2137813008817081E-4</v>
      </c>
      <c r="J160">
        <v>-0.25776763565411281</v>
      </c>
      <c r="K160">
        <v>2.681674186287788</v>
      </c>
      <c r="L160">
        <v>6.1141295966256294E-3</v>
      </c>
      <c r="M160">
        <v>0</v>
      </c>
      <c r="N160" t="s">
        <v>762</v>
      </c>
      <c r="O160" s="1">
        <v>42855</v>
      </c>
      <c r="P160">
        <v>0.5563181310821701</v>
      </c>
      <c r="Q160">
        <v>2.7815906554108497E-4</v>
      </c>
      <c r="R160">
        <v>1.0662925028470979E-2</v>
      </c>
      <c r="S160">
        <v>1.03847659629299E-2</v>
      </c>
      <c r="T160">
        <v>219</v>
      </c>
    </row>
    <row r="161" spans="1:20" x14ac:dyDescent="0.35">
      <c r="A161" s="1">
        <v>42855</v>
      </c>
      <c r="B161" t="s">
        <v>37</v>
      </c>
      <c r="C161" t="s">
        <v>763</v>
      </c>
      <c r="D161">
        <v>7.2375723368001748E-3</v>
      </c>
      <c r="E161" t="s">
        <v>738</v>
      </c>
      <c r="F161" t="s">
        <v>764</v>
      </c>
      <c r="G161" t="s">
        <v>765</v>
      </c>
      <c r="H161">
        <v>9.0490308949213952E-3</v>
      </c>
      <c r="I161">
        <v>2.6703881750368003E-4</v>
      </c>
      <c r="J161">
        <v>-0.34152280236045979</v>
      </c>
      <c r="K161">
        <v>2.8158228622380719</v>
      </c>
      <c r="L161">
        <v>8.2479144424103552E-3</v>
      </c>
      <c r="M161">
        <v>1.0103421056101799E-3</v>
      </c>
      <c r="N161" t="s">
        <v>766</v>
      </c>
      <c r="O161" s="1">
        <v>42886</v>
      </c>
      <c r="P161">
        <v>0.31908791844305923</v>
      </c>
      <c r="Q161">
        <v>1.595439592215296E-4</v>
      </c>
      <c r="R161">
        <v>8.2004377154548079E-3</v>
      </c>
      <c r="S161">
        <v>8.0408937562332777E-3</v>
      </c>
      <c r="T161">
        <v>220</v>
      </c>
    </row>
    <row r="162" spans="1:20" x14ac:dyDescent="0.35">
      <c r="A162" s="1">
        <v>42886</v>
      </c>
      <c r="B162" t="s">
        <v>37</v>
      </c>
      <c r="C162" t="s">
        <v>767</v>
      </c>
      <c r="D162">
        <v>8.6144440776043923E-3</v>
      </c>
      <c r="E162" t="s">
        <v>760</v>
      </c>
      <c r="F162" t="s">
        <v>761</v>
      </c>
      <c r="G162" t="s">
        <v>16</v>
      </c>
      <c r="H162">
        <v>9.3363072268645118E-3</v>
      </c>
      <c r="I162">
        <v>2.4062104975337319E-4</v>
      </c>
      <c r="J162">
        <v>-0.19981337822374709</v>
      </c>
      <c r="K162">
        <v>2.998811835505315</v>
      </c>
      <c r="L162">
        <v>8.6144440776043923E-3</v>
      </c>
      <c r="M162">
        <v>0</v>
      </c>
      <c r="N162" t="s">
        <v>768</v>
      </c>
      <c r="O162" s="1">
        <v>42916</v>
      </c>
      <c r="P162">
        <v>0.31908791844305923</v>
      </c>
      <c r="Q162">
        <v>1.595439592215296E-4</v>
      </c>
      <c r="R162">
        <v>1.367656693611297E-3</v>
      </c>
      <c r="S162">
        <v>1.208112734389767E-3</v>
      </c>
      <c r="T162">
        <v>221</v>
      </c>
    </row>
    <row r="163" spans="1:20" x14ac:dyDescent="0.35">
      <c r="A163" s="1">
        <v>42916</v>
      </c>
      <c r="B163" t="s">
        <v>37</v>
      </c>
      <c r="C163" t="s">
        <v>769</v>
      </c>
      <c r="D163">
        <v>7.742399468291963E-3</v>
      </c>
      <c r="E163" t="s">
        <v>59</v>
      </c>
      <c r="F163" t="s">
        <v>770</v>
      </c>
      <c r="G163" t="s">
        <v>771</v>
      </c>
      <c r="H163">
        <v>9.8385907939136357E-3</v>
      </c>
      <c r="I163">
        <v>2.7173388186266533E-4</v>
      </c>
      <c r="J163">
        <v>-0.37939903359415078</v>
      </c>
      <c r="K163">
        <v>2.9257101169872128</v>
      </c>
      <c r="L163">
        <v>9.0233891483256397E-3</v>
      </c>
      <c r="M163">
        <v>1.2809896800336769E-3</v>
      </c>
      <c r="N163" t="s">
        <v>772</v>
      </c>
      <c r="O163" s="1">
        <v>42947</v>
      </c>
      <c r="P163">
        <v>0.73882877291271809</v>
      </c>
      <c r="Q163">
        <v>3.6941438645635898E-4</v>
      </c>
      <c r="R163">
        <v>1.252230539912717E-2</v>
      </c>
      <c r="S163">
        <v>1.215289101267081E-2</v>
      </c>
      <c r="T163">
        <v>222</v>
      </c>
    </row>
    <row r="164" spans="1:20" x14ac:dyDescent="0.35">
      <c r="A164" s="1">
        <v>42947</v>
      </c>
      <c r="B164" t="s">
        <v>37</v>
      </c>
      <c r="C164" t="s">
        <v>773</v>
      </c>
      <c r="D164">
        <v>5.7978061129596121E-3</v>
      </c>
      <c r="E164" t="s">
        <v>760</v>
      </c>
      <c r="F164" t="s">
        <v>761</v>
      </c>
      <c r="G164" t="s">
        <v>16</v>
      </c>
      <c r="H164">
        <v>6.490512912330073E-3</v>
      </c>
      <c r="I164">
        <v>2.3090226645682029E-4</v>
      </c>
      <c r="J164">
        <v>-0.25822206374681328</v>
      </c>
      <c r="K164">
        <v>2.9067548884790169</v>
      </c>
      <c r="L164">
        <v>5.7978061129596121E-3</v>
      </c>
      <c r="M164">
        <v>0</v>
      </c>
      <c r="N164" t="s">
        <v>774</v>
      </c>
      <c r="O164" s="1">
        <v>42978</v>
      </c>
      <c r="P164">
        <v>0.73882877291271809</v>
      </c>
      <c r="Q164">
        <v>3.6941438645635898E-4</v>
      </c>
      <c r="R164">
        <v>7.6847405543544753E-3</v>
      </c>
      <c r="S164">
        <v>7.315326167898116E-3</v>
      </c>
      <c r="T164">
        <v>223</v>
      </c>
    </row>
    <row r="165" spans="1:20" x14ac:dyDescent="0.35">
      <c r="A165" s="1">
        <v>42978</v>
      </c>
      <c r="B165" t="s">
        <v>37</v>
      </c>
      <c r="C165" t="s">
        <v>775</v>
      </c>
      <c r="D165">
        <v>5.783304105298954E-3</v>
      </c>
      <c r="E165" t="s">
        <v>760</v>
      </c>
      <c r="F165" t="s">
        <v>761</v>
      </c>
      <c r="G165" t="s">
        <v>16</v>
      </c>
      <c r="H165">
        <v>6.6472982750998208E-3</v>
      </c>
      <c r="I165">
        <v>2.8799805660028888E-4</v>
      </c>
      <c r="J165">
        <v>-0.17894694206642489</v>
      </c>
      <c r="K165">
        <v>2.8214082543797612</v>
      </c>
      <c r="L165">
        <v>5.783304105298954E-3</v>
      </c>
      <c r="M165">
        <v>0</v>
      </c>
      <c r="N165" t="s">
        <v>776</v>
      </c>
      <c r="O165" s="1">
        <v>43008</v>
      </c>
      <c r="P165">
        <v>0</v>
      </c>
      <c r="Q165">
        <v>0</v>
      </c>
      <c r="R165">
        <v>6.7335892330321794E-3</v>
      </c>
      <c r="S165">
        <v>6.7335892330321794E-3</v>
      </c>
      <c r="T165">
        <v>224</v>
      </c>
    </row>
    <row r="166" spans="1:20" x14ac:dyDescent="0.35">
      <c r="A166" s="1">
        <v>43008</v>
      </c>
      <c r="B166" t="s">
        <v>37</v>
      </c>
      <c r="C166" t="s">
        <v>777</v>
      </c>
      <c r="D166">
        <v>5.5346432916938259E-3</v>
      </c>
      <c r="E166" t="s">
        <v>760</v>
      </c>
      <c r="F166" t="s">
        <v>761</v>
      </c>
      <c r="G166" t="s">
        <v>16</v>
      </c>
      <c r="H166">
        <v>6.2069882313861438E-3</v>
      </c>
      <c r="I166">
        <v>2.2411497989743921E-4</v>
      </c>
      <c r="J166">
        <v>-0.20454488372638169</v>
      </c>
      <c r="K166">
        <v>2.961234296975201</v>
      </c>
      <c r="L166">
        <v>5.5346432916938259E-3</v>
      </c>
      <c r="M166">
        <v>0</v>
      </c>
      <c r="N166" t="s">
        <v>778</v>
      </c>
      <c r="O166" s="1">
        <v>43039</v>
      </c>
      <c r="P166">
        <v>0</v>
      </c>
      <c r="Q166">
        <v>0</v>
      </c>
      <c r="R166">
        <v>1.319651995264625E-2</v>
      </c>
      <c r="S166">
        <v>1.319651995264625E-2</v>
      </c>
      <c r="T166">
        <v>225</v>
      </c>
    </row>
    <row r="167" spans="1:20" x14ac:dyDescent="0.35">
      <c r="A167" s="1">
        <v>43039</v>
      </c>
      <c r="B167" t="s">
        <v>37</v>
      </c>
      <c r="C167" t="s">
        <v>779</v>
      </c>
      <c r="D167">
        <v>6.9487949201403384E-3</v>
      </c>
      <c r="E167" t="s">
        <v>780</v>
      </c>
      <c r="F167" t="s">
        <v>781</v>
      </c>
      <c r="G167" t="s">
        <v>782</v>
      </c>
      <c r="H167">
        <v>8.7696604914849312E-3</v>
      </c>
      <c r="I167">
        <v>2.402315897760284E-4</v>
      </c>
      <c r="J167">
        <v>-0.30284046490953759</v>
      </c>
      <c r="K167">
        <v>2.9842854397298888</v>
      </c>
      <c r="L167">
        <v>8.0489657221568464E-3</v>
      </c>
      <c r="M167">
        <v>1.1001708020165089E-3</v>
      </c>
      <c r="N167" t="s">
        <v>783</v>
      </c>
      <c r="O167" s="1">
        <v>43069</v>
      </c>
      <c r="P167">
        <v>0.16275779931035689</v>
      </c>
      <c r="Q167">
        <v>8.1378899655178431E-5</v>
      </c>
      <c r="R167">
        <v>1.633153457681492E-2</v>
      </c>
      <c r="S167">
        <v>1.625015567715974E-2</v>
      </c>
      <c r="T167">
        <v>226</v>
      </c>
    </row>
    <row r="168" spans="1:20" x14ac:dyDescent="0.35">
      <c r="A168" s="1">
        <v>43069</v>
      </c>
      <c r="B168" t="s">
        <v>37</v>
      </c>
      <c r="C168" t="s">
        <v>784</v>
      </c>
      <c r="D168">
        <v>5.7446712520888739E-3</v>
      </c>
      <c r="E168" t="s">
        <v>760</v>
      </c>
      <c r="F168" t="s">
        <v>761</v>
      </c>
      <c r="G168" t="s">
        <v>16</v>
      </c>
      <c r="H168">
        <v>6.4168657632603689E-3</v>
      </c>
      <c r="I168">
        <v>2.2406483705716509E-4</v>
      </c>
      <c r="J168">
        <v>-0.29526323445216912</v>
      </c>
      <c r="K168">
        <v>3.0738196177445789</v>
      </c>
      <c r="L168">
        <v>5.7446712520888739E-3</v>
      </c>
      <c r="M168">
        <v>0</v>
      </c>
      <c r="N168" t="s">
        <v>785</v>
      </c>
      <c r="O168" s="1">
        <v>43100</v>
      </c>
      <c r="P168">
        <v>0.16275779931035689</v>
      </c>
      <c r="Q168">
        <v>8.1378899655178431E-5</v>
      </c>
      <c r="R168">
        <v>7.5086213210296057E-3</v>
      </c>
      <c r="S168">
        <v>7.4272424213744272E-3</v>
      </c>
      <c r="T168">
        <v>227</v>
      </c>
    </row>
    <row r="169" spans="1:20" x14ac:dyDescent="0.35">
      <c r="A169" s="1">
        <v>43100</v>
      </c>
      <c r="B169" t="s">
        <v>37</v>
      </c>
      <c r="C169" t="s">
        <v>786</v>
      </c>
      <c r="D169">
        <v>7.3542256013259411E-3</v>
      </c>
      <c r="E169" t="s">
        <v>760</v>
      </c>
      <c r="F169" t="s">
        <v>761</v>
      </c>
      <c r="G169" t="s">
        <v>16</v>
      </c>
      <c r="H169">
        <v>7.975112428523199E-3</v>
      </c>
      <c r="I169">
        <v>2.0696227573241931E-4</v>
      </c>
      <c r="J169">
        <v>-0.19052579335051251</v>
      </c>
      <c r="K169">
        <v>2.8573446973675209</v>
      </c>
      <c r="L169">
        <v>7.3542256013259411E-3</v>
      </c>
      <c r="M169">
        <v>0</v>
      </c>
      <c r="N169" t="s">
        <v>787</v>
      </c>
      <c r="O169" s="1">
        <v>43131</v>
      </c>
      <c r="P169">
        <v>0</v>
      </c>
      <c r="Q169">
        <v>0</v>
      </c>
      <c r="R169">
        <v>2.4958625234035092E-2</v>
      </c>
      <c r="S169">
        <v>2.4958625234035092E-2</v>
      </c>
      <c r="T169">
        <v>228</v>
      </c>
    </row>
    <row r="170" spans="1:20" x14ac:dyDescent="0.35">
      <c r="A170" s="1">
        <v>43131</v>
      </c>
      <c r="B170" t="s">
        <v>37</v>
      </c>
      <c r="C170" t="s">
        <v>788</v>
      </c>
      <c r="D170">
        <v>6.7217139952735483E-3</v>
      </c>
      <c r="E170" t="s">
        <v>59</v>
      </c>
      <c r="F170" t="s">
        <v>789</v>
      </c>
      <c r="G170" t="s">
        <v>790</v>
      </c>
      <c r="H170">
        <v>8.5392758129386199E-3</v>
      </c>
      <c r="I170">
        <v>2.1534922239625079E-4</v>
      </c>
      <c r="J170">
        <v>-0.55581357436355716</v>
      </c>
      <c r="K170">
        <v>3.3459753827867642</v>
      </c>
      <c r="L170">
        <v>7.8932281457498674E-3</v>
      </c>
      <c r="M170">
        <v>1.1715141504763189E-3</v>
      </c>
      <c r="N170" t="s">
        <v>791</v>
      </c>
      <c r="O170" s="1">
        <v>43159</v>
      </c>
      <c r="P170">
        <v>0.71827639258547404</v>
      </c>
      <c r="Q170">
        <v>3.59138196292737E-4</v>
      </c>
      <c r="R170">
        <v>-2.317917158577628E-2</v>
      </c>
      <c r="S170">
        <v>-2.3538309782069021E-2</v>
      </c>
      <c r="T170">
        <v>229</v>
      </c>
    </row>
    <row r="171" spans="1:20" x14ac:dyDescent="0.35">
      <c r="A171" s="1">
        <v>43159</v>
      </c>
      <c r="B171" t="s">
        <v>37</v>
      </c>
      <c r="C171" t="s">
        <v>792</v>
      </c>
      <c r="D171">
        <v>4.5542660806314628E-3</v>
      </c>
      <c r="E171" t="s">
        <v>75</v>
      </c>
      <c r="F171" t="s">
        <v>793</v>
      </c>
      <c r="G171" t="s">
        <v>794</v>
      </c>
      <c r="H171">
        <v>8.5172051196534624E-3</v>
      </c>
      <c r="I171">
        <v>4.2105631802437599E-4</v>
      </c>
      <c r="J171">
        <v>-0.54979156095986981</v>
      </c>
      <c r="K171">
        <v>2.6278454696114339</v>
      </c>
      <c r="L171">
        <v>7.2540361655803343E-3</v>
      </c>
      <c r="M171">
        <v>2.6997700849488711E-3</v>
      </c>
      <c r="N171" t="s">
        <v>795</v>
      </c>
      <c r="O171" s="1">
        <v>43190</v>
      </c>
      <c r="P171">
        <v>0.71827639258547404</v>
      </c>
      <c r="Q171">
        <v>3.59138196292737E-4</v>
      </c>
      <c r="R171">
        <v>5.6300152753376853E-3</v>
      </c>
      <c r="S171">
        <v>5.2708770790449479E-3</v>
      </c>
      <c r="T171">
        <v>230</v>
      </c>
    </row>
    <row r="172" spans="1:20" x14ac:dyDescent="0.35">
      <c r="A172" s="1">
        <v>43190</v>
      </c>
      <c r="B172" t="s">
        <v>37</v>
      </c>
      <c r="C172" t="s">
        <v>796</v>
      </c>
      <c r="D172">
        <v>6.37960040008324E-3</v>
      </c>
      <c r="E172" t="s">
        <v>65</v>
      </c>
      <c r="F172" t="s">
        <v>797</v>
      </c>
      <c r="G172" t="s">
        <v>798</v>
      </c>
      <c r="H172">
        <v>8.6479683890251045E-3</v>
      </c>
      <c r="I172">
        <v>3.2778900384763167E-4</v>
      </c>
      <c r="J172">
        <v>-1.856782306169737E-2</v>
      </c>
      <c r="K172">
        <v>2.5840516627242009</v>
      </c>
      <c r="L172">
        <v>7.6646013774822087E-3</v>
      </c>
      <c r="M172">
        <v>1.285000977398969E-3</v>
      </c>
      <c r="N172" t="s">
        <v>799</v>
      </c>
      <c r="O172" s="1">
        <v>43220</v>
      </c>
      <c r="P172">
        <v>0.70854567328480633</v>
      </c>
      <c r="Q172">
        <v>3.5427283664240318E-4</v>
      </c>
      <c r="R172">
        <v>-3.8290088593935642E-3</v>
      </c>
      <c r="S172">
        <v>-4.1832816960359672E-3</v>
      </c>
      <c r="T172">
        <v>231</v>
      </c>
    </row>
    <row r="173" spans="1:20" x14ac:dyDescent="0.35">
      <c r="A173" s="1">
        <v>43220</v>
      </c>
      <c r="B173" t="s">
        <v>37</v>
      </c>
      <c r="C173" t="s">
        <v>800</v>
      </c>
      <c r="D173">
        <v>5.2308911351170448E-3</v>
      </c>
      <c r="E173" t="s">
        <v>65</v>
      </c>
      <c r="F173" t="s">
        <v>801</v>
      </c>
      <c r="G173" t="s">
        <v>802</v>
      </c>
      <c r="H173">
        <v>7.5024805471993134E-3</v>
      </c>
      <c r="I173">
        <v>3.1041108058705419E-4</v>
      </c>
      <c r="J173">
        <v>-8.472537364913818E-2</v>
      </c>
      <c r="K173">
        <v>2.543181479541746</v>
      </c>
      <c r="L173">
        <v>6.571247305438151E-3</v>
      </c>
      <c r="M173">
        <v>1.340356170321106E-3</v>
      </c>
      <c r="N173" t="s">
        <v>803</v>
      </c>
      <c r="O173" s="1">
        <v>43251</v>
      </c>
      <c r="P173">
        <v>6.3510958627210679E-2</v>
      </c>
      <c r="Q173">
        <v>3.1755479313605343E-5</v>
      </c>
      <c r="R173">
        <v>3.2637394982686481E-2</v>
      </c>
      <c r="S173">
        <v>3.2605639503372877E-2</v>
      </c>
      <c r="T173">
        <v>232</v>
      </c>
    </row>
    <row r="174" spans="1:20" x14ac:dyDescent="0.35">
      <c r="A174" s="1">
        <v>43251</v>
      </c>
      <c r="B174" t="s">
        <v>37</v>
      </c>
      <c r="C174" t="s">
        <v>804</v>
      </c>
      <c r="D174">
        <v>5.9740785335465089E-3</v>
      </c>
      <c r="E174" t="s">
        <v>65</v>
      </c>
      <c r="F174" t="s">
        <v>805</v>
      </c>
      <c r="G174" t="s">
        <v>806</v>
      </c>
      <c r="H174">
        <v>8.4130021783184843E-3</v>
      </c>
      <c r="I174">
        <v>3.2297137924806711E-4</v>
      </c>
      <c r="J174">
        <v>-4.7265352511751083E-2</v>
      </c>
      <c r="K174">
        <v>2.4266685922079532</v>
      </c>
      <c r="L174">
        <v>7.4440880405742833E-3</v>
      </c>
      <c r="M174">
        <v>1.4700095070277739E-3</v>
      </c>
      <c r="N174" t="s">
        <v>807</v>
      </c>
      <c r="O174" s="1">
        <v>43281</v>
      </c>
      <c r="P174">
        <v>8.4688672505933815E-2</v>
      </c>
      <c r="Q174">
        <v>4.234433625296691E-5</v>
      </c>
      <c r="R174">
        <v>7.1532101304780198E-4</v>
      </c>
      <c r="S174">
        <v>6.7297667679483506E-4</v>
      </c>
      <c r="T174">
        <v>233</v>
      </c>
    </row>
    <row r="175" spans="1:20" x14ac:dyDescent="0.35">
      <c r="A175" s="1">
        <v>43281</v>
      </c>
      <c r="B175" t="s">
        <v>37</v>
      </c>
      <c r="C175" t="s">
        <v>808</v>
      </c>
      <c r="D175">
        <v>1.0777689846175329E-2</v>
      </c>
      <c r="E175" t="s">
        <v>809</v>
      </c>
      <c r="F175" t="s">
        <v>810</v>
      </c>
      <c r="G175" t="s">
        <v>811</v>
      </c>
      <c r="H175">
        <v>1.3405802344298841E-2</v>
      </c>
      <c r="I175">
        <v>3.118893022949537E-4</v>
      </c>
      <c r="J175">
        <v>-0.1453622068064479</v>
      </c>
      <c r="K175">
        <v>2.7264018652014812</v>
      </c>
      <c r="L175">
        <v>1.247013443741397E-2</v>
      </c>
      <c r="M175">
        <v>1.6924445912386431E-3</v>
      </c>
      <c r="N175" t="s">
        <v>812</v>
      </c>
      <c r="O175" s="1">
        <v>43312</v>
      </c>
      <c r="P175">
        <v>0.19686761951750889</v>
      </c>
      <c r="Q175">
        <v>9.8433809758754473E-5</v>
      </c>
      <c r="R175">
        <v>1.380337772064285E-2</v>
      </c>
      <c r="S175">
        <v>1.3704943910884089E-2</v>
      </c>
      <c r="T175">
        <v>234</v>
      </c>
    </row>
    <row r="176" spans="1:20" x14ac:dyDescent="0.35">
      <c r="A176" s="1">
        <v>43312</v>
      </c>
      <c r="B176" t="s">
        <v>37</v>
      </c>
      <c r="C176" t="s">
        <v>813</v>
      </c>
      <c r="D176">
        <v>4.8593449321977398E-3</v>
      </c>
      <c r="E176" t="s">
        <v>65</v>
      </c>
      <c r="F176" t="s">
        <v>814</v>
      </c>
      <c r="G176" t="s">
        <v>815</v>
      </c>
      <c r="H176">
        <v>7.3311815143241388E-3</v>
      </c>
      <c r="I176">
        <v>3.1826750855589288E-4</v>
      </c>
      <c r="J176">
        <v>5.4630085347754223E-2</v>
      </c>
      <c r="K176">
        <v>2.6126998130012069</v>
      </c>
      <c r="L176">
        <v>6.3763789886564599E-3</v>
      </c>
      <c r="M176">
        <v>1.5170340564587201E-3</v>
      </c>
      <c r="N176" t="s">
        <v>816</v>
      </c>
      <c r="O176" s="1">
        <v>43343</v>
      </c>
      <c r="P176">
        <v>0.17761858921534021</v>
      </c>
      <c r="Q176">
        <v>8.8809294607670111E-5</v>
      </c>
      <c r="R176">
        <v>3.3001545243654548E-2</v>
      </c>
      <c r="S176">
        <v>3.2912735949046881E-2</v>
      </c>
      <c r="T176">
        <v>235</v>
      </c>
    </row>
    <row r="177" spans="1:20" x14ac:dyDescent="0.35">
      <c r="A177" s="1">
        <v>43343</v>
      </c>
      <c r="B177" t="s">
        <v>37</v>
      </c>
      <c r="C177" t="s">
        <v>817</v>
      </c>
      <c r="D177">
        <v>3.518850223617804E-3</v>
      </c>
      <c r="E177" t="s">
        <v>818</v>
      </c>
      <c r="F177" t="s">
        <v>819</v>
      </c>
      <c r="G177" t="s">
        <v>820</v>
      </c>
      <c r="H177">
        <v>6.1433104484697691E-3</v>
      </c>
      <c r="I177">
        <v>2.3665611120798831E-4</v>
      </c>
      <c r="J177">
        <v>-0.26393234644890279</v>
      </c>
      <c r="K177">
        <v>2.8197691307679742</v>
      </c>
      <c r="L177">
        <v>5.4333421148458037E-3</v>
      </c>
      <c r="M177">
        <v>1.9144918912279991E-3</v>
      </c>
      <c r="N177" t="s">
        <v>821</v>
      </c>
      <c r="O177" s="1">
        <v>43373</v>
      </c>
      <c r="P177">
        <v>0.2872005026450114</v>
      </c>
      <c r="Q177">
        <v>1.4360025132250569E-4</v>
      </c>
      <c r="R177">
        <v>-3.4951753152961339E-3</v>
      </c>
      <c r="S177">
        <v>-3.6387755666186399E-3</v>
      </c>
      <c r="T177">
        <v>236</v>
      </c>
    </row>
    <row r="178" spans="1:20" x14ac:dyDescent="0.35">
      <c r="A178" s="1">
        <v>43373</v>
      </c>
      <c r="B178" t="s">
        <v>37</v>
      </c>
      <c r="C178" t="s">
        <v>822</v>
      </c>
      <c r="D178">
        <v>7.1563097893584298E-3</v>
      </c>
      <c r="E178" t="s">
        <v>65</v>
      </c>
      <c r="F178" t="s">
        <v>823</v>
      </c>
      <c r="G178" t="s">
        <v>824</v>
      </c>
      <c r="H178">
        <v>9.4645584580209038E-3</v>
      </c>
      <c r="I178">
        <v>2.850452734254079E-4</v>
      </c>
      <c r="J178">
        <v>-6.6274963350831745E-2</v>
      </c>
      <c r="K178">
        <v>2.562119343880183</v>
      </c>
      <c r="L178">
        <v>8.6094226377446802E-3</v>
      </c>
      <c r="M178">
        <v>1.45311284838625E-3</v>
      </c>
      <c r="N178" t="s">
        <v>825</v>
      </c>
      <c r="O178" s="1">
        <v>43404</v>
      </c>
      <c r="P178">
        <v>0.4301652495624595</v>
      </c>
      <c r="Q178">
        <v>2.1508262478122969E-4</v>
      </c>
      <c r="R178">
        <v>-4.7192062511276077E-2</v>
      </c>
      <c r="S178">
        <v>-4.7407145136057309E-2</v>
      </c>
      <c r="T178">
        <v>237</v>
      </c>
    </row>
    <row r="179" spans="1:20" x14ac:dyDescent="0.35">
      <c r="A179" s="1">
        <v>43404</v>
      </c>
      <c r="B179" t="s">
        <v>37</v>
      </c>
      <c r="C179" t="s">
        <v>826</v>
      </c>
      <c r="D179">
        <v>6.5946073277562169E-3</v>
      </c>
      <c r="E179" t="s">
        <v>65</v>
      </c>
      <c r="F179" t="s">
        <v>827</v>
      </c>
      <c r="G179" t="s">
        <v>828</v>
      </c>
      <c r="H179">
        <v>9.3230319994151278E-3</v>
      </c>
      <c r="I179">
        <v>4.166053609194173E-4</v>
      </c>
      <c r="J179">
        <v>-0.1586947304473548</v>
      </c>
      <c r="K179">
        <v>3.1063303688799868</v>
      </c>
      <c r="L179">
        <v>8.0732159166568753E-3</v>
      </c>
      <c r="M179">
        <v>1.478608588900658E-3</v>
      </c>
      <c r="N179" t="s">
        <v>829</v>
      </c>
      <c r="O179" s="1">
        <v>43434</v>
      </c>
      <c r="P179">
        <v>3.1649281817165753E-2</v>
      </c>
      <c r="Q179">
        <v>1.5824640908582881E-5</v>
      </c>
      <c r="R179">
        <v>4.2185654805208406E-3</v>
      </c>
      <c r="S179">
        <v>4.2027408396122581E-3</v>
      </c>
      <c r="T179">
        <v>238</v>
      </c>
    </row>
    <row r="180" spans="1:20" x14ac:dyDescent="0.35">
      <c r="A180" s="1">
        <v>43434</v>
      </c>
      <c r="B180" t="s">
        <v>37</v>
      </c>
      <c r="C180" t="s">
        <v>830</v>
      </c>
      <c r="D180">
        <v>6.05583762104392E-3</v>
      </c>
      <c r="E180" t="s">
        <v>780</v>
      </c>
      <c r="F180" t="s">
        <v>831</v>
      </c>
      <c r="G180" t="s">
        <v>832</v>
      </c>
      <c r="H180">
        <v>8.0054459966281636E-3</v>
      </c>
      <c r="I180">
        <v>2.359527494779404E-4</v>
      </c>
      <c r="J180">
        <v>-0.44612062302544891</v>
      </c>
      <c r="K180">
        <v>3.5970417303470978</v>
      </c>
      <c r="L180">
        <v>7.2975877481943428E-3</v>
      </c>
      <c r="M180">
        <v>1.241750127150423E-3</v>
      </c>
      <c r="N180" t="s">
        <v>833</v>
      </c>
      <c r="O180" s="1">
        <v>43465</v>
      </c>
      <c r="P180">
        <v>0.3072581572744415</v>
      </c>
      <c r="Q180">
        <v>1.5362907863722069E-4</v>
      </c>
      <c r="R180">
        <v>-4.3809848715048838E-2</v>
      </c>
      <c r="S180">
        <v>-4.3963477793686069E-2</v>
      </c>
      <c r="T180">
        <v>239</v>
      </c>
    </row>
    <row r="181" spans="1:20" x14ac:dyDescent="0.35">
      <c r="A181" s="1">
        <v>43465</v>
      </c>
      <c r="B181" t="s">
        <v>37</v>
      </c>
      <c r="C181" t="s">
        <v>834</v>
      </c>
      <c r="D181">
        <v>4.515717297268601E-3</v>
      </c>
      <c r="E181" t="s">
        <v>65</v>
      </c>
      <c r="F181" t="s">
        <v>835</v>
      </c>
      <c r="G181" t="s">
        <v>836</v>
      </c>
      <c r="H181">
        <v>7.0164973524704166E-3</v>
      </c>
      <c r="I181">
        <v>4.2801811387515709E-4</v>
      </c>
      <c r="J181">
        <v>-0.23516994775094821</v>
      </c>
      <c r="K181">
        <v>3.1894339001366729</v>
      </c>
      <c r="L181">
        <v>5.732443010844945E-3</v>
      </c>
      <c r="M181">
        <v>1.2167257135763439E-3</v>
      </c>
      <c r="N181" t="s">
        <v>837</v>
      </c>
      <c r="O181" s="1">
        <v>43496</v>
      </c>
      <c r="P181">
        <v>0.29170352617662931</v>
      </c>
      <c r="Q181">
        <v>1.4585176308831469E-4</v>
      </c>
      <c r="R181">
        <v>4.7038360027293481E-2</v>
      </c>
      <c r="S181">
        <v>4.6892508264205157E-2</v>
      </c>
      <c r="T181">
        <v>240</v>
      </c>
    </row>
    <row r="182" spans="1:20" x14ac:dyDescent="0.35">
      <c r="A182" s="1">
        <v>43496</v>
      </c>
      <c r="B182" t="s">
        <v>37</v>
      </c>
      <c r="C182" t="s">
        <v>838</v>
      </c>
      <c r="D182">
        <v>5.9394645326513902E-3</v>
      </c>
      <c r="E182" t="s">
        <v>780</v>
      </c>
      <c r="F182" t="s">
        <v>839</v>
      </c>
      <c r="G182" t="s">
        <v>840</v>
      </c>
      <c r="H182">
        <v>7.9314422208737814E-3</v>
      </c>
      <c r="I182">
        <v>2.140495889204032E-4</v>
      </c>
      <c r="J182">
        <v>-0.24218748401993309</v>
      </c>
      <c r="K182">
        <v>2.6708651157610661</v>
      </c>
      <c r="L182">
        <v>7.2892934541125718E-3</v>
      </c>
      <c r="M182">
        <v>1.3498289214611821E-3</v>
      </c>
      <c r="N182" t="s">
        <v>841</v>
      </c>
      <c r="O182" s="1">
        <v>43524</v>
      </c>
      <c r="P182">
        <v>0.3498374000478075</v>
      </c>
      <c r="Q182">
        <v>1.7491870002390379E-4</v>
      </c>
      <c r="R182">
        <v>2.292522227839747E-2</v>
      </c>
      <c r="S182">
        <v>2.2750303578373571E-2</v>
      </c>
      <c r="T182">
        <v>241</v>
      </c>
    </row>
    <row r="183" spans="1:20" x14ac:dyDescent="0.35">
      <c r="A183" s="1">
        <v>43524</v>
      </c>
      <c r="B183" t="s">
        <v>37</v>
      </c>
      <c r="C183" t="s">
        <v>842</v>
      </c>
      <c r="D183">
        <v>4.7076042947770637E-3</v>
      </c>
      <c r="E183" t="s">
        <v>65</v>
      </c>
      <c r="F183" t="s">
        <v>843</v>
      </c>
      <c r="G183" t="s">
        <v>844</v>
      </c>
      <c r="H183">
        <v>7.0636303928952307E-3</v>
      </c>
      <c r="I183">
        <v>3.1993437183349207E-4</v>
      </c>
      <c r="J183">
        <v>-0.31430959282585941</v>
      </c>
      <c r="K183">
        <v>3.0825562547966041</v>
      </c>
      <c r="L183">
        <v>6.1038272773947548E-3</v>
      </c>
      <c r="M183">
        <v>1.3962229826176909E-3</v>
      </c>
      <c r="N183" t="s">
        <v>845</v>
      </c>
      <c r="O183" s="1">
        <v>43555</v>
      </c>
      <c r="P183">
        <v>0.40625247644688128</v>
      </c>
      <c r="Q183">
        <v>2.0312623822344071E-4</v>
      </c>
      <c r="R183">
        <v>3.1601489919061143E-2</v>
      </c>
      <c r="S183">
        <v>3.1398363680837697E-2</v>
      </c>
      <c r="T183">
        <v>242</v>
      </c>
    </row>
    <row r="184" spans="1:20" x14ac:dyDescent="0.35">
      <c r="A184" s="1">
        <v>43555</v>
      </c>
      <c r="B184" t="s">
        <v>37</v>
      </c>
      <c r="C184" t="s">
        <v>846</v>
      </c>
      <c r="D184">
        <v>4.9476089535394688E-3</v>
      </c>
      <c r="E184" t="s">
        <v>65</v>
      </c>
      <c r="F184" t="s">
        <v>847</v>
      </c>
      <c r="G184" t="s">
        <v>848</v>
      </c>
      <c r="H184">
        <v>7.8058397388846229E-3</v>
      </c>
      <c r="I184">
        <v>3.3241260679315449E-4</v>
      </c>
      <c r="J184">
        <v>-0.3612024980674165</v>
      </c>
      <c r="K184">
        <v>2.9674790733346561</v>
      </c>
      <c r="L184">
        <v>6.80860191850516E-3</v>
      </c>
      <c r="M184">
        <v>1.860992964965691E-3</v>
      </c>
      <c r="N184" t="s">
        <v>849</v>
      </c>
      <c r="O184" s="1">
        <v>43585</v>
      </c>
      <c r="P184">
        <v>1.264926901331731E-3</v>
      </c>
      <c r="Q184">
        <v>6.3246345066586558E-7</v>
      </c>
      <c r="R184">
        <v>3.0324831453089021E-2</v>
      </c>
      <c r="S184">
        <v>3.0324198989638351E-2</v>
      </c>
      <c r="T184">
        <v>243</v>
      </c>
    </row>
    <row r="185" spans="1:20" x14ac:dyDescent="0.35">
      <c r="A185" s="1">
        <v>43585</v>
      </c>
      <c r="B185" t="s">
        <v>37</v>
      </c>
      <c r="C185" t="s">
        <v>850</v>
      </c>
      <c r="D185">
        <v>5.221266029919824E-3</v>
      </c>
      <c r="E185" t="s">
        <v>65</v>
      </c>
      <c r="F185" t="s">
        <v>851</v>
      </c>
      <c r="G185" t="s">
        <v>852</v>
      </c>
      <c r="H185">
        <v>8.3067373883821023E-3</v>
      </c>
      <c r="I185">
        <v>3.3454904787105311E-4</v>
      </c>
      <c r="J185">
        <v>-0.3909867002184812</v>
      </c>
      <c r="K185">
        <v>2.8515210648859259</v>
      </c>
      <c r="L185">
        <v>7.3030902447689429E-3</v>
      </c>
      <c r="M185">
        <v>2.0818242148491189E-3</v>
      </c>
      <c r="N185" t="s">
        <v>853</v>
      </c>
      <c r="O185" s="1">
        <v>43616</v>
      </c>
      <c r="P185">
        <v>6.7050280965657016E-3</v>
      </c>
      <c r="Q185">
        <v>3.3525140482828512E-6</v>
      </c>
      <c r="R185">
        <v>-3.587896891446149E-2</v>
      </c>
      <c r="S185">
        <v>-3.5882321428509771E-2</v>
      </c>
      <c r="T185">
        <v>244</v>
      </c>
    </row>
    <row r="186" spans="1:20" x14ac:dyDescent="0.35">
      <c r="A186" s="1">
        <v>43616</v>
      </c>
      <c r="B186" t="s">
        <v>37</v>
      </c>
      <c r="C186" t="s">
        <v>854</v>
      </c>
      <c r="D186">
        <v>4.6477816942944259E-3</v>
      </c>
      <c r="E186" t="s">
        <v>809</v>
      </c>
      <c r="F186" t="s">
        <v>855</v>
      </c>
      <c r="G186" t="s">
        <v>856</v>
      </c>
      <c r="H186">
        <v>7.6467633311594558E-3</v>
      </c>
      <c r="I186">
        <v>5.9846525646412995E-4</v>
      </c>
      <c r="J186">
        <v>-0.32448314978076842</v>
      </c>
      <c r="K186">
        <v>2.7505613793501729</v>
      </c>
      <c r="L186">
        <v>5.8513675617670657E-3</v>
      </c>
      <c r="M186">
        <v>1.20358586747264E-3</v>
      </c>
      <c r="N186" t="s">
        <v>857</v>
      </c>
      <c r="O186" s="1">
        <v>43646</v>
      </c>
      <c r="P186">
        <v>0.21281044608954619</v>
      </c>
      <c r="Q186">
        <v>1.064052230447731E-4</v>
      </c>
      <c r="R186">
        <v>5.228391360799476E-2</v>
      </c>
      <c r="S186">
        <v>5.2177508384949993E-2</v>
      </c>
      <c r="T186">
        <v>245</v>
      </c>
    </row>
    <row r="187" spans="1:20" x14ac:dyDescent="0.35">
      <c r="A187" s="1">
        <v>43646</v>
      </c>
      <c r="B187" t="s">
        <v>37</v>
      </c>
      <c r="C187" t="s">
        <v>858</v>
      </c>
      <c r="D187">
        <v>5.7737310462737546E-3</v>
      </c>
      <c r="E187" t="s">
        <v>65</v>
      </c>
      <c r="F187" t="s">
        <v>859</v>
      </c>
      <c r="G187" t="s">
        <v>860</v>
      </c>
      <c r="H187">
        <v>8.5030249186423008E-3</v>
      </c>
      <c r="I187">
        <v>2.8336686160867439E-4</v>
      </c>
      <c r="J187">
        <v>-0.1808899899149419</v>
      </c>
      <c r="K187">
        <v>2.128060073481008</v>
      </c>
      <c r="L187">
        <v>7.6529243338162778E-3</v>
      </c>
      <c r="M187">
        <v>1.8791932875425221E-3</v>
      </c>
      <c r="N187" t="s">
        <v>861</v>
      </c>
      <c r="O187" s="1">
        <v>43677</v>
      </c>
      <c r="P187">
        <v>0.29225094428429138</v>
      </c>
      <c r="Q187">
        <v>1.4612547214214571E-4</v>
      </c>
      <c r="R187">
        <v>1.6264756746589702E-2</v>
      </c>
      <c r="S187">
        <v>1.611863127444756E-2</v>
      </c>
      <c r="T187">
        <v>246</v>
      </c>
    </row>
    <row r="188" spans="1:20" x14ac:dyDescent="0.35">
      <c r="A188" s="1">
        <v>43677</v>
      </c>
      <c r="B188" t="s">
        <v>37</v>
      </c>
      <c r="C188" t="s">
        <v>862</v>
      </c>
      <c r="D188">
        <v>4.6513199870574576E-3</v>
      </c>
      <c r="E188" t="s">
        <v>65</v>
      </c>
      <c r="F188" t="s">
        <v>863</v>
      </c>
      <c r="G188" t="s">
        <v>864</v>
      </c>
      <c r="H188">
        <v>7.3645369164690088E-3</v>
      </c>
      <c r="I188">
        <v>3.7606243637768841E-4</v>
      </c>
      <c r="J188">
        <v>-0.40895856397077179</v>
      </c>
      <c r="K188">
        <v>2.9601012094232728</v>
      </c>
      <c r="L188">
        <v>6.2363496073359441E-3</v>
      </c>
      <c r="M188">
        <v>1.5850296202784869E-3</v>
      </c>
      <c r="N188" t="s">
        <v>865</v>
      </c>
      <c r="O188" s="1">
        <v>43708</v>
      </c>
      <c r="P188">
        <v>0.1136532704108293</v>
      </c>
      <c r="Q188">
        <v>5.6826635205414643E-5</v>
      </c>
      <c r="R188">
        <v>6.1761855741477622E-3</v>
      </c>
      <c r="S188">
        <v>6.1193589389423476E-3</v>
      </c>
      <c r="T188">
        <v>247</v>
      </c>
    </row>
    <row r="189" spans="1:20" x14ac:dyDescent="0.35">
      <c r="A189" s="1">
        <v>43708</v>
      </c>
      <c r="B189" t="s">
        <v>37</v>
      </c>
      <c r="C189" t="s">
        <v>866</v>
      </c>
      <c r="D189">
        <v>6.445439840174207E-3</v>
      </c>
      <c r="E189" t="s">
        <v>809</v>
      </c>
      <c r="F189" t="s">
        <v>867</v>
      </c>
      <c r="G189" t="s">
        <v>868</v>
      </c>
      <c r="H189">
        <v>9.70636768010983E-3</v>
      </c>
      <c r="I189">
        <v>6.2747278725917518E-4</v>
      </c>
      <c r="J189">
        <v>-0.2764838923647312</v>
      </c>
      <c r="K189">
        <v>2.6858354990355529</v>
      </c>
      <c r="L189">
        <v>7.8239493183323051E-3</v>
      </c>
      <c r="M189">
        <v>1.378509478158098E-3</v>
      </c>
      <c r="N189" t="s">
        <v>869</v>
      </c>
      <c r="O189" s="1">
        <v>43738</v>
      </c>
      <c r="P189">
        <v>0.14513107430049879</v>
      </c>
      <c r="Q189">
        <v>7.2565537150249377E-5</v>
      </c>
      <c r="R189">
        <v>5.7201800916978083E-3</v>
      </c>
      <c r="S189">
        <v>5.6476145545475594E-3</v>
      </c>
      <c r="T189">
        <v>248</v>
      </c>
    </row>
    <row r="190" spans="1:20" x14ac:dyDescent="0.35">
      <c r="A190" s="1">
        <v>43738</v>
      </c>
      <c r="B190" t="s">
        <v>37</v>
      </c>
      <c r="C190" t="s">
        <v>870</v>
      </c>
      <c r="D190">
        <v>4.2355339751324822E-3</v>
      </c>
      <c r="E190" t="s">
        <v>818</v>
      </c>
      <c r="F190" t="s">
        <v>871</v>
      </c>
      <c r="G190" t="s">
        <v>872</v>
      </c>
      <c r="H190">
        <v>6.7501314627473703E-3</v>
      </c>
      <c r="I190">
        <v>3.0736710440062499E-4</v>
      </c>
      <c r="J190">
        <v>-0.48402565499813471</v>
      </c>
      <c r="K190">
        <v>2.9733245240981998</v>
      </c>
      <c r="L190">
        <v>5.8280301495454946E-3</v>
      </c>
      <c r="M190">
        <v>1.592496174413013E-3</v>
      </c>
      <c r="N190" t="s">
        <v>873</v>
      </c>
      <c r="O190" s="1">
        <v>43769</v>
      </c>
      <c r="P190">
        <v>0.12084108483973791</v>
      </c>
      <c r="Q190">
        <v>6.0420542419868957E-5</v>
      </c>
      <c r="R190">
        <v>1.723920002262639E-2</v>
      </c>
      <c r="S190">
        <v>1.7178779480206529E-2</v>
      </c>
      <c r="T190">
        <v>249</v>
      </c>
    </row>
    <row r="191" spans="1:20" x14ac:dyDescent="0.35">
      <c r="A191" s="1">
        <v>43769</v>
      </c>
      <c r="B191" t="s">
        <v>37</v>
      </c>
      <c r="C191" t="s">
        <v>874</v>
      </c>
      <c r="D191">
        <v>4.0492212943304823E-3</v>
      </c>
      <c r="E191" t="s">
        <v>65</v>
      </c>
      <c r="F191" t="s">
        <v>875</v>
      </c>
      <c r="G191" t="s">
        <v>876</v>
      </c>
      <c r="H191">
        <v>6.898196499593055E-3</v>
      </c>
      <c r="I191">
        <v>3.8559738635011851E-4</v>
      </c>
      <c r="J191">
        <v>-0.42621678081096559</v>
      </c>
      <c r="K191">
        <v>3.1228261072148662</v>
      </c>
      <c r="L191">
        <v>5.7414043405426994E-3</v>
      </c>
      <c r="M191">
        <v>1.6921830462122171E-3</v>
      </c>
      <c r="N191" t="s">
        <v>877</v>
      </c>
      <c r="O191" s="1">
        <v>43799</v>
      </c>
      <c r="P191">
        <v>0.162313247524798</v>
      </c>
      <c r="Q191">
        <v>8.1156623762398985E-5</v>
      </c>
      <c r="R191">
        <v>2.448348113308732E-2</v>
      </c>
      <c r="S191">
        <v>2.4402324509324919E-2</v>
      </c>
      <c r="T191">
        <v>250</v>
      </c>
    </row>
    <row r="192" spans="1:20" x14ac:dyDescent="0.35">
      <c r="A192" s="1">
        <v>43799</v>
      </c>
      <c r="B192" t="s">
        <v>37</v>
      </c>
      <c r="C192" t="s">
        <v>878</v>
      </c>
      <c r="D192">
        <v>4.0527836034346806E-3</v>
      </c>
      <c r="E192" t="s">
        <v>65</v>
      </c>
      <c r="F192" t="s">
        <v>879</v>
      </c>
      <c r="G192" t="s">
        <v>880</v>
      </c>
      <c r="H192">
        <v>6.8650324702327816E-3</v>
      </c>
      <c r="I192">
        <v>3.7904604301877243E-4</v>
      </c>
      <c r="J192">
        <v>-0.43007168273745</v>
      </c>
      <c r="K192">
        <v>3.1541292207256308</v>
      </c>
      <c r="L192">
        <v>5.7278943411764654E-3</v>
      </c>
      <c r="M192">
        <v>1.6751107377417839E-3</v>
      </c>
      <c r="N192" t="s">
        <v>881</v>
      </c>
      <c r="O192" s="1">
        <v>43830</v>
      </c>
      <c r="P192">
        <v>4.4262900798648364E-3</v>
      </c>
      <c r="Q192">
        <v>2.2131450399324181E-6</v>
      </c>
      <c r="R192">
        <v>1.9184413313617539E-2</v>
      </c>
      <c r="S192">
        <v>1.91822001685776E-2</v>
      </c>
      <c r="T192">
        <v>251</v>
      </c>
    </row>
    <row r="193" spans="1:20" x14ac:dyDescent="0.35">
      <c r="A193" s="1">
        <v>43830</v>
      </c>
      <c r="B193" t="s">
        <v>37</v>
      </c>
      <c r="C193" t="s">
        <v>882</v>
      </c>
      <c r="D193">
        <v>4.7440168341698723E-3</v>
      </c>
      <c r="E193" t="s">
        <v>65</v>
      </c>
      <c r="F193" t="s">
        <v>883</v>
      </c>
      <c r="G193" t="s">
        <v>884</v>
      </c>
      <c r="H193">
        <v>7.9073662594546772E-3</v>
      </c>
      <c r="I193">
        <v>4.1040399965796339E-4</v>
      </c>
      <c r="J193">
        <v>-0.49201346534390022</v>
      </c>
      <c r="K193">
        <v>3.2406957521883388</v>
      </c>
      <c r="L193">
        <v>6.6761542604807872E-3</v>
      </c>
      <c r="M193">
        <v>1.932137426310915E-3</v>
      </c>
      <c r="N193" t="s">
        <v>885</v>
      </c>
      <c r="O193" s="1">
        <v>43861</v>
      </c>
      <c r="P193">
        <v>2.576189526698491E-2</v>
      </c>
      <c r="Q193">
        <v>1.2880947633492461E-5</v>
      </c>
      <c r="R193">
        <v>2.521842763333064E-2</v>
      </c>
      <c r="S193">
        <v>2.5205546685697151E-2</v>
      </c>
      <c r="T193">
        <v>252</v>
      </c>
    </row>
    <row r="194" spans="1:20" x14ac:dyDescent="0.35">
      <c r="A194" s="1">
        <v>43861</v>
      </c>
      <c r="B194" t="s">
        <v>37</v>
      </c>
      <c r="C194" t="s">
        <v>886</v>
      </c>
      <c r="D194">
        <v>7.2109850227210434E-3</v>
      </c>
      <c r="E194" t="s">
        <v>65</v>
      </c>
      <c r="F194" t="s">
        <v>887</v>
      </c>
      <c r="G194" t="s">
        <v>888</v>
      </c>
      <c r="H194">
        <v>1.086044752832439E-2</v>
      </c>
      <c r="I194">
        <v>4.1009263958288018E-4</v>
      </c>
      <c r="J194">
        <v>-0.1894662729680118</v>
      </c>
      <c r="K194">
        <v>3.024444261390852</v>
      </c>
      <c r="L194">
        <v>9.6301696095757484E-3</v>
      </c>
      <c r="M194">
        <v>2.419184586854705E-3</v>
      </c>
      <c r="N194" t="s">
        <v>889</v>
      </c>
      <c r="O194" s="1">
        <v>43890</v>
      </c>
      <c r="P194">
        <v>9.0864785081694821E-2</v>
      </c>
      <c r="Q194">
        <v>4.543239254084741E-5</v>
      </c>
      <c r="R194">
        <v>-3.4860411469958649E-2</v>
      </c>
      <c r="S194">
        <v>-3.4905843862499487E-2</v>
      </c>
      <c r="T194">
        <v>253</v>
      </c>
    </row>
    <row r="195" spans="1:20" x14ac:dyDescent="0.35">
      <c r="A195" s="1">
        <v>43890</v>
      </c>
      <c r="B195" t="s">
        <v>37</v>
      </c>
      <c r="C195" t="s">
        <v>890</v>
      </c>
      <c r="D195">
        <v>3.115511873611595E-3</v>
      </c>
      <c r="E195" t="s">
        <v>65</v>
      </c>
      <c r="F195" t="s">
        <v>891</v>
      </c>
      <c r="G195" t="s">
        <v>892</v>
      </c>
      <c r="H195">
        <v>6.706811134048681E-3</v>
      </c>
      <c r="I195">
        <v>5.7450904533062062E-4</v>
      </c>
      <c r="J195">
        <v>-0.32155851227574772</v>
      </c>
      <c r="K195">
        <v>2.767949179191846</v>
      </c>
      <c r="L195">
        <v>4.9832839980568193E-3</v>
      </c>
      <c r="M195">
        <v>1.8677721244452241E-3</v>
      </c>
      <c r="N195" t="s">
        <v>893</v>
      </c>
      <c r="O195" s="1">
        <v>43921</v>
      </c>
      <c r="P195">
        <v>0.16780421147914601</v>
      </c>
      <c r="Q195">
        <v>8.3902105739573019E-5</v>
      </c>
      <c r="R195">
        <v>-5.2415860781618563E-2</v>
      </c>
      <c r="S195">
        <v>-5.249976288735813E-2</v>
      </c>
      <c r="T195">
        <v>254</v>
      </c>
    </row>
    <row r="196" spans="1:20" x14ac:dyDescent="0.35">
      <c r="A196" s="1">
        <v>43921</v>
      </c>
      <c r="B196" t="s">
        <v>37</v>
      </c>
      <c r="C196" t="s">
        <v>894</v>
      </c>
      <c r="D196">
        <v>-2.31360094281925E-3</v>
      </c>
      <c r="E196" t="s">
        <v>81</v>
      </c>
      <c r="F196" t="s">
        <v>895</v>
      </c>
      <c r="G196" t="s">
        <v>896</v>
      </c>
      <c r="H196">
        <v>4.3880792294876151E-3</v>
      </c>
      <c r="I196">
        <v>3.81783424474079E-4</v>
      </c>
      <c r="J196">
        <v>0.2989155469016867</v>
      </c>
      <c r="K196">
        <v>2.9151540821278989</v>
      </c>
      <c r="L196">
        <v>3.2427289560653782E-3</v>
      </c>
      <c r="M196">
        <v>5.5563298988846287E-3</v>
      </c>
      <c r="N196" t="s">
        <v>897</v>
      </c>
      <c r="O196" s="1">
        <v>43951</v>
      </c>
      <c r="P196">
        <v>0.55426734491123963</v>
      </c>
      <c r="Q196">
        <v>2.7713367245561982E-4</v>
      </c>
      <c r="R196">
        <v>6.673600531630082E-2</v>
      </c>
      <c r="S196">
        <v>6.6458871643845202E-2</v>
      </c>
      <c r="T196">
        <v>255</v>
      </c>
    </row>
    <row r="197" spans="1:20" x14ac:dyDescent="0.35">
      <c r="A197" s="1">
        <v>43951</v>
      </c>
      <c r="B197" t="s">
        <v>37</v>
      </c>
      <c r="C197" t="s">
        <v>898</v>
      </c>
      <c r="D197">
        <v>8.2491992983564459E-3</v>
      </c>
      <c r="E197" t="s">
        <v>65</v>
      </c>
      <c r="F197" t="s">
        <v>899</v>
      </c>
      <c r="G197" t="s">
        <v>900</v>
      </c>
      <c r="H197">
        <v>1.12700490162414E-2</v>
      </c>
      <c r="I197">
        <v>2.6158134633374552E-4</v>
      </c>
      <c r="J197">
        <v>-0.52750907599313535</v>
      </c>
      <c r="K197">
        <v>3.491357197807468</v>
      </c>
      <c r="L197">
        <v>1.0485304977240159E-2</v>
      </c>
      <c r="M197">
        <v>2.236105678883717E-3</v>
      </c>
      <c r="N197" t="s">
        <v>901</v>
      </c>
      <c r="O197" s="1">
        <v>43982</v>
      </c>
      <c r="P197">
        <v>0.78316259770553054</v>
      </c>
      <c r="Q197">
        <v>3.9158129885276529E-4</v>
      </c>
      <c r="R197">
        <v>3.8298302374280467E-2</v>
      </c>
      <c r="S197">
        <v>3.7906721075427703E-2</v>
      </c>
      <c r="T197">
        <v>256</v>
      </c>
    </row>
    <row r="198" spans="1:20" x14ac:dyDescent="0.35">
      <c r="A198" s="1">
        <v>43982</v>
      </c>
      <c r="B198" t="s">
        <v>37</v>
      </c>
      <c r="C198" t="s">
        <v>902</v>
      </c>
      <c r="D198">
        <v>4.0860018181343282E-3</v>
      </c>
      <c r="E198" t="s">
        <v>65</v>
      </c>
      <c r="F198" t="s">
        <v>903</v>
      </c>
      <c r="G198" t="s">
        <v>904</v>
      </c>
      <c r="H198">
        <v>7.9880762853063239E-3</v>
      </c>
      <c r="I198">
        <v>4.3620414882360962E-4</v>
      </c>
      <c r="J198">
        <v>-0.66315741315073484</v>
      </c>
      <c r="K198">
        <v>3.3763154427220581</v>
      </c>
      <c r="L198">
        <v>6.6794638388354951E-3</v>
      </c>
      <c r="M198">
        <v>2.5934620207011668E-3</v>
      </c>
      <c r="N198" t="s">
        <v>905</v>
      </c>
      <c r="O198" s="1">
        <v>44012</v>
      </c>
      <c r="P198">
        <v>0.1378101453054911</v>
      </c>
      <c r="Q198">
        <v>6.8905072652745533E-5</v>
      </c>
      <c r="R198">
        <v>2.7734393789695711E-2</v>
      </c>
      <c r="S198">
        <v>2.7665488717042962E-2</v>
      </c>
      <c r="T198">
        <v>257</v>
      </c>
    </row>
    <row r="199" spans="1:20" x14ac:dyDescent="0.35">
      <c r="A199" s="1">
        <v>44012</v>
      </c>
      <c r="B199" t="s">
        <v>37</v>
      </c>
      <c r="C199" t="s">
        <v>906</v>
      </c>
      <c r="D199">
        <v>3.781916397288778E-3</v>
      </c>
      <c r="E199" t="s">
        <v>65</v>
      </c>
      <c r="F199" t="s">
        <v>907</v>
      </c>
      <c r="G199" t="s">
        <v>908</v>
      </c>
      <c r="H199">
        <v>8.3173736337178641E-3</v>
      </c>
      <c r="I199">
        <v>4.6199853711198253E-4</v>
      </c>
      <c r="J199">
        <v>-0.76430210389242592</v>
      </c>
      <c r="K199">
        <v>3.583051473400761</v>
      </c>
      <c r="L199">
        <v>6.931378022381916E-3</v>
      </c>
      <c r="M199">
        <v>3.1494616250931379E-3</v>
      </c>
      <c r="N199" t="s">
        <v>909</v>
      </c>
      <c r="O199" s="1">
        <v>44043</v>
      </c>
      <c r="P199">
        <v>5.7047940217485271E-2</v>
      </c>
      <c r="Q199">
        <v>2.852397010874264E-5</v>
      </c>
      <c r="R199">
        <v>3.7174588033392443E-2</v>
      </c>
      <c r="S199">
        <v>3.714606406328369E-2</v>
      </c>
      <c r="T199">
        <v>258</v>
      </c>
    </row>
    <row r="200" spans="1:20" x14ac:dyDescent="0.35">
      <c r="A200" s="1">
        <v>44043</v>
      </c>
      <c r="B200" t="s">
        <v>37</v>
      </c>
      <c r="C200" t="s">
        <v>910</v>
      </c>
      <c r="D200">
        <v>6.2064837074803638E-3</v>
      </c>
      <c r="E200" t="s">
        <v>65</v>
      </c>
      <c r="F200" t="s">
        <v>911</v>
      </c>
      <c r="G200" t="s">
        <v>912</v>
      </c>
      <c r="H200">
        <v>1.0561199244521971E-2</v>
      </c>
      <c r="I200">
        <v>3.6806897163725979E-4</v>
      </c>
      <c r="J200">
        <v>-0.62149418331339612</v>
      </c>
      <c r="K200">
        <v>3.4207024917677491</v>
      </c>
      <c r="L200">
        <v>9.4569923296101942E-3</v>
      </c>
      <c r="M200">
        <v>3.2505086221298299E-3</v>
      </c>
      <c r="N200" t="s">
        <v>913</v>
      </c>
      <c r="O200" s="1">
        <v>44074</v>
      </c>
      <c r="P200">
        <v>0.1247674287359033</v>
      </c>
      <c r="Q200">
        <v>6.238371436795165E-5</v>
      </c>
      <c r="R200">
        <v>5.5035841809160789E-2</v>
      </c>
      <c r="S200">
        <v>5.4973458094792843E-2</v>
      </c>
      <c r="T200">
        <v>259</v>
      </c>
    </row>
    <row r="201" spans="1:20" x14ac:dyDescent="0.35">
      <c r="A201" s="1">
        <v>44074</v>
      </c>
      <c r="B201" t="s">
        <v>37</v>
      </c>
      <c r="C201" t="s">
        <v>914</v>
      </c>
      <c r="D201">
        <v>7.620385840944521E-3</v>
      </c>
      <c r="E201" t="s">
        <v>65</v>
      </c>
      <c r="F201" t="s">
        <v>915</v>
      </c>
      <c r="G201" t="s">
        <v>916</v>
      </c>
      <c r="H201">
        <v>1.200996834222201E-2</v>
      </c>
      <c r="I201">
        <v>4.0399527470999291E-4</v>
      </c>
      <c r="J201">
        <v>-0.36589328092455792</v>
      </c>
      <c r="K201">
        <v>3.3992716655791102</v>
      </c>
      <c r="L201">
        <v>1.079798251809203E-2</v>
      </c>
      <c r="M201">
        <v>3.1775966771475108E-3</v>
      </c>
      <c r="N201" t="s">
        <v>917</v>
      </c>
      <c r="O201" s="1">
        <v>44104</v>
      </c>
      <c r="P201">
        <v>4.1816093239332996E-3</v>
      </c>
      <c r="Q201">
        <v>2.0908046619666499E-6</v>
      </c>
      <c r="R201">
        <v>-2.7619378406326781E-2</v>
      </c>
      <c r="S201">
        <v>-2.762146921098874E-2</v>
      </c>
      <c r="T201">
        <v>260</v>
      </c>
    </row>
    <row r="202" spans="1:20" x14ac:dyDescent="0.35">
      <c r="A202" s="1">
        <v>44104</v>
      </c>
      <c r="B202" t="s">
        <v>37</v>
      </c>
      <c r="C202" t="s">
        <v>918</v>
      </c>
      <c r="D202">
        <v>6.4449981316352769E-3</v>
      </c>
      <c r="E202" t="s">
        <v>65</v>
      </c>
      <c r="F202" t="s">
        <v>919</v>
      </c>
      <c r="G202" t="s">
        <v>920</v>
      </c>
      <c r="H202">
        <v>1.0559267454713641E-2</v>
      </c>
      <c r="I202">
        <v>4.9822206893618227E-4</v>
      </c>
      <c r="J202">
        <v>-0.43745449481890231</v>
      </c>
      <c r="K202">
        <v>3.1585290456191428</v>
      </c>
      <c r="L202">
        <v>9.0646012479050943E-3</v>
      </c>
      <c r="M202">
        <v>2.619603116269817E-3</v>
      </c>
      <c r="N202" t="s">
        <v>921</v>
      </c>
      <c r="O202" s="1">
        <v>44135</v>
      </c>
      <c r="P202">
        <v>4.7015519124559368E-2</v>
      </c>
      <c r="Q202">
        <v>2.3507759562279681E-5</v>
      </c>
      <c r="R202">
        <v>-3.0254979887261571E-2</v>
      </c>
      <c r="S202">
        <v>-3.0278487646823851E-2</v>
      </c>
      <c r="T202">
        <v>261</v>
      </c>
    </row>
    <row r="203" spans="1:20" x14ac:dyDescent="0.35">
      <c r="A203" s="1">
        <v>44135</v>
      </c>
      <c r="B203" t="s">
        <v>37</v>
      </c>
      <c r="C203" t="s">
        <v>922</v>
      </c>
      <c r="D203">
        <v>5.7996609529160411E-3</v>
      </c>
      <c r="E203" t="s">
        <v>65</v>
      </c>
      <c r="F203" t="s">
        <v>923</v>
      </c>
      <c r="G203" t="s">
        <v>924</v>
      </c>
      <c r="H203">
        <v>1.000565662743603E-2</v>
      </c>
      <c r="I203">
        <v>6.3659434030760109E-4</v>
      </c>
      <c r="J203">
        <v>-0.18926060874708661</v>
      </c>
      <c r="K203">
        <v>3.2018917996333731</v>
      </c>
      <c r="L203">
        <v>8.0958736065132233E-3</v>
      </c>
      <c r="M203">
        <v>2.2962126535971822E-3</v>
      </c>
      <c r="N203" t="s">
        <v>925</v>
      </c>
      <c r="O203" s="1">
        <v>44165</v>
      </c>
      <c r="P203">
        <v>3.5544804142947577E-2</v>
      </c>
      <c r="Q203">
        <v>1.777240207147379E-5</v>
      </c>
      <c r="R203">
        <v>6.6981134038785806E-2</v>
      </c>
      <c r="S203">
        <v>6.6963361636714333E-2</v>
      </c>
      <c r="T203">
        <v>262</v>
      </c>
    </row>
    <row r="204" spans="1:20" x14ac:dyDescent="0.35">
      <c r="A204" s="1">
        <v>44165</v>
      </c>
      <c r="B204" t="s">
        <v>37</v>
      </c>
      <c r="C204" t="s">
        <v>926</v>
      </c>
      <c r="D204">
        <v>6.8699082121797123E-3</v>
      </c>
      <c r="E204" t="s">
        <v>65</v>
      </c>
      <c r="F204" t="s">
        <v>927</v>
      </c>
      <c r="G204" t="s">
        <v>928</v>
      </c>
      <c r="H204">
        <v>1.0978592633960411E-2</v>
      </c>
      <c r="I204">
        <v>5.2241671897094652E-4</v>
      </c>
      <c r="J204">
        <v>-0.27378087147343549</v>
      </c>
      <c r="K204">
        <v>3.198204049430903</v>
      </c>
      <c r="L204">
        <v>9.4113424770475729E-3</v>
      </c>
      <c r="M204">
        <v>2.5414342648678611E-3</v>
      </c>
      <c r="N204" t="s">
        <v>929</v>
      </c>
      <c r="O204" s="1">
        <v>44196</v>
      </c>
      <c r="P204">
        <v>3.2435010083353588E-2</v>
      </c>
      <c r="Q204">
        <v>1.6217505041676791E-5</v>
      </c>
      <c r="R204">
        <v>2.8066575096616361E-2</v>
      </c>
      <c r="S204">
        <v>2.805035759157468E-2</v>
      </c>
      <c r="T204">
        <v>263</v>
      </c>
    </row>
    <row r="205" spans="1:20" x14ac:dyDescent="0.35">
      <c r="A205" s="1">
        <v>44196</v>
      </c>
      <c r="B205" t="s">
        <v>37</v>
      </c>
      <c r="C205" t="s">
        <v>930</v>
      </c>
      <c r="D205">
        <v>7.6207547725353781E-3</v>
      </c>
      <c r="E205" t="s">
        <v>65</v>
      </c>
      <c r="F205" t="s">
        <v>931</v>
      </c>
      <c r="G205" t="s">
        <v>932</v>
      </c>
      <c r="H205">
        <v>1.19898566778506E-2</v>
      </c>
      <c r="I205">
        <v>4.3972091682386162E-4</v>
      </c>
      <c r="J205">
        <v>-0.48137013944289031</v>
      </c>
      <c r="K205">
        <v>3.2857140130534841</v>
      </c>
      <c r="L205">
        <v>1.0670693927379011E-2</v>
      </c>
      <c r="M205">
        <v>3.049939154843632E-3</v>
      </c>
      <c r="N205" t="s">
        <v>933</v>
      </c>
      <c r="O205" s="1">
        <v>44227</v>
      </c>
      <c r="P205">
        <v>4.741485308497706E-2</v>
      </c>
      <c r="Q205">
        <v>2.370742654248853E-5</v>
      </c>
      <c r="R205">
        <v>-9.7775147420166627E-3</v>
      </c>
      <c r="S205">
        <v>-9.8012221685591511E-3</v>
      </c>
      <c r="T205">
        <v>264</v>
      </c>
    </row>
    <row r="206" spans="1:20" x14ac:dyDescent="0.35">
      <c r="A206" s="1">
        <v>44227</v>
      </c>
      <c r="B206" t="s">
        <v>37</v>
      </c>
      <c r="C206" t="s">
        <v>934</v>
      </c>
      <c r="D206">
        <v>7.6316683275021047E-3</v>
      </c>
      <c r="E206" t="s">
        <v>65</v>
      </c>
      <c r="F206" t="s">
        <v>935</v>
      </c>
      <c r="G206" t="s">
        <v>936</v>
      </c>
      <c r="H206">
        <v>1.179693389601295E-2</v>
      </c>
      <c r="I206">
        <v>5.1763989158105017E-4</v>
      </c>
      <c r="J206">
        <v>-0.34868598622171831</v>
      </c>
      <c r="K206">
        <v>3.3248977233591139</v>
      </c>
      <c r="L206">
        <v>1.02440142212698E-2</v>
      </c>
      <c r="M206">
        <v>2.6123458937676921E-3</v>
      </c>
      <c r="N206" t="s">
        <v>937</v>
      </c>
      <c r="O206" s="1">
        <v>44255</v>
      </c>
      <c r="P206">
        <v>4.5403256346938432E-2</v>
      </c>
      <c r="Q206">
        <v>2.270162817346921E-5</v>
      </c>
      <c r="R206">
        <v>1.6701047623532599E-3</v>
      </c>
      <c r="S206">
        <v>1.647403134179791E-3</v>
      </c>
      <c r="T206">
        <v>265</v>
      </c>
    </row>
    <row r="207" spans="1:20" x14ac:dyDescent="0.35">
      <c r="A207" s="1">
        <v>44255</v>
      </c>
      <c r="B207" t="s">
        <v>37</v>
      </c>
      <c r="C207" t="s">
        <v>938</v>
      </c>
      <c r="D207">
        <v>7.1554093447814947E-3</v>
      </c>
      <c r="E207" t="s">
        <v>65</v>
      </c>
      <c r="F207" t="s">
        <v>939</v>
      </c>
      <c r="G207" t="s">
        <v>940</v>
      </c>
      <c r="H207">
        <v>1.1172502373818709E-2</v>
      </c>
      <c r="I207">
        <v>5.127733305903021E-4</v>
      </c>
      <c r="J207">
        <v>-0.34076227009814802</v>
      </c>
      <c r="K207">
        <v>3.4020778375847569</v>
      </c>
      <c r="L207">
        <v>9.6341823820478029E-3</v>
      </c>
      <c r="M207">
        <v>2.4787730372663082E-3</v>
      </c>
      <c r="N207" t="s">
        <v>941</v>
      </c>
      <c r="O207" s="1">
        <v>44286</v>
      </c>
      <c r="P207">
        <v>4.1256539384498803E-3</v>
      </c>
      <c r="Q207">
        <v>2.06282696922494E-6</v>
      </c>
      <c r="R207">
        <v>6.6092129877813027E-3</v>
      </c>
      <c r="S207">
        <v>6.6071501608120781E-3</v>
      </c>
      <c r="T207">
        <v>266</v>
      </c>
    </row>
    <row r="208" spans="1:20" x14ac:dyDescent="0.35">
      <c r="A208" s="1">
        <v>44286</v>
      </c>
      <c r="B208" t="s">
        <v>37</v>
      </c>
      <c r="C208" t="s">
        <v>942</v>
      </c>
      <c r="D208">
        <v>7.2779275927787809E-3</v>
      </c>
      <c r="E208" t="s">
        <v>65</v>
      </c>
      <c r="F208" t="s">
        <v>943</v>
      </c>
      <c r="G208" t="s">
        <v>944</v>
      </c>
      <c r="H208">
        <v>1.1009855656345109E-2</v>
      </c>
      <c r="I208">
        <v>4.9641036969360686E-4</v>
      </c>
      <c r="J208">
        <v>-0.33898730853974401</v>
      </c>
      <c r="K208">
        <v>3.4608447484015081</v>
      </c>
      <c r="L208">
        <v>9.5206245472642913E-3</v>
      </c>
      <c r="M208">
        <v>2.2426969544855099E-3</v>
      </c>
      <c r="N208" t="s">
        <v>945</v>
      </c>
      <c r="O208" s="1">
        <v>44316</v>
      </c>
      <c r="P208">
        <v>3.4581687936302559E-3</v>
      </c>
      <c r="Q208">
        <v>1.729084396815128E-6</v>
      </c>
      <c r="R208">
        <v>3.5282733512004352E-2</v>
      </c>
      <c r="S208">
        <v>3.5281004427607537E-2</v>
      </c>
      <c r="T208">
        <v>267</v>
      </c>
    </row>
    <row r="209" spans="1:20" x14ac:dyDescent="0.35">
      <c r="A209" s="1">
        <v>44316</v>
      </c>
      <c r="B209" t="s">
        <v>37</v>
      </c>
      <c r="C209" t="s">
        <v>946</v>
      </c>
      <c r="D209">
        <v>7.8636430809936476E-3</v>
      </c>
      <c r="E209" t="s">
        <v>65</v>
      </c>
      <c r="F209" t="s">
        <v>947</v>
      </c>
      <c r="G209" t="s">
        <v>948</v>
      </c>
      <c r="H209">
        <v>1.20240560011098E-2</v>
      </c>
      <c r="I209">
        <v>4.8436398351303178E-4</v>
      </c>
      <c r="J209">
        <v>-0.41587470121214648</v>
      </c>
      <c r="K209">
        <v>3.5993344028626439</v>
      </c>
      <c r="L209">
        <v>1.0570964050570701E-2</v>
      </c>
      <c r="M209">
        <v>2.7073209695770571E-3</v>
      </c>
      <c r="N209" t="s">
        <v>949</v>
      </c>
      <c r="O209" s="1">
        <v>44347</v>
      </c>
      <c r="P209">
        <v>1.182186628668314E-3</v>
      </c>
      <c r="Q209">
        <v>5.9109331433415676E-7</v>
      </c>
      <c r="R209">
        <v>4.323317255173421E-4</v>
      </c>
      <c r="S209">
        <v>4.3174063220300789E-4</v>
      </c>
      <c r="T209">
        <v>268</v>
      </c>
    </row>
    <row r="210" spans="1:20" x14ac:dyDescent="0.35">
      <c r="A210" s="1">
        <v>44347</v>
      </c>
      <c r="B210" t="s">
        <v>37</v>
      </c>
      <c r="C210" t="s">
        <v>950</v>
      </c>
      <c r="D210">
        <v>7.7974492952921897E-3</v>
      </c>
      <c r="E210" t="s">
        <v>65</v>
      </c>
      <c r="F210" t="s">
        <v>951</v>
      </c>
      <c r="G210" t="s">
        <v>952</v>
      </c>
      <c r="H210">
        <v>1.1616407078101189E-2</v>
      </c>
      <c r="I210">
        <v>4.8569613534045893E-4</v>
      </c>
      <c r="J210">
        <v>-0.3626467684472432</v>
      </c>
      <c r="K210">
        <v>3.5632120256154809</v>
      </c>
      <c r="L210">
        <v>1.0159318672079819E-2</v>
      </c>
      <c r="M210">
        <v>2.3618693767876258E-3</v>
      </c>
      <c r="N210" t="s">
        <v>953</v>
      </c>
      <c r="O210" s="1">
        <v>44377</v>
      </c>
      <c r="P210">
        <v>2.0125513076774129E-4</v>
      </c>
      <c r="Q210">
        <v>1.006275653838706E-7</v>
      </c>
      <c r="R210">
        <v>3.4370715634604483E-2</v>
      </c>
      <c r="S210">
        <v>3.4370615007039099E-2</v>
      </c>
      <c r="T210">
        <v>269</v>
      </c>
    </row>
    <row r="211" spans="1:20" x14ac:dyDescent="0.35">
      <c r="A211" s="1">
        <v>44377</v>
      </c>
      <c r="B211" t="s">
        <v>37</v>
      </c>
      <c r="C211" t="s">
        <v>954</v>
      </c>
      <c r="D211">
        <v>7.8543864960314777E-3</v>
      </c>
      <c r="E211" t="s">
        <v>65</v>
      </c>
      <c r="F211" t="s">
        <v>955</v>
      </c>
      <c r="G211" t="s">
        <v>956</v>
      </c>
      <c r="H211">
        <v>1.21248396647529E-2</v>
      </c>
      <c r="I211">
        <v>4.9541760831169242E-4</v>
      </c>
      <c r="J211">
        <v>-0.40466233107498312</v>
      </c>
      <c r="K211">
        <v>3.4881753673089051</v>
      </c>
      <c r="L211">
        <v>1.063858683981782E-2</v>
      </c>
      <c r="M211">
        <v>2.7842003437863472E-3</v>
      </c>
      <c r="N211" t="s">
        <v>957</v>
      </c>
      <c r="O211" s="1">
        <v>44408</v>
      </c>
      <c r="P211">
        <v>1.1990694339885091E-3</v>
      </c>
      <c r="Q211">
        <v>5.9953471699425445E-7</v>
      </c>
      <c r="R211">
        <v>2.797423380508799E-2</v>
      </c>
      <c r="S211">
        <v>2.797363427037099E-2</v>
      </c>
      <c r="T211">
        <v>270</v>
      </c>
    </row>
    <row r="212" spans="1:20" x14ac:dyDescent="0.35">
      <c r="A212" s="1">
        <v>44408</v>
      </c>
      <c r="B212" t="s">
        <v>37</v>
      </c>
      <c r="C212" t="s">
        <v>958</v>
      </c>
      <c r="D212">
        <v>7.8475477345099614E-3</v>
      </c>
      <c r="E212" t="s">
        <v>65</v>
      </c>
      <c r="F212" t="s">
        <v>959</v>
      </c>
      <c r="G212" t="s">
        <v>960</v>
      </c>
      <c r="H212">
        <v>1.197897549572694E-2</v>
      </c>
      <c r="I212">
        <v>4.8777995809858482E-4</v>
      </c>
      <c r="J212">
        <v>-0.41002499614544619</v>
      </c>
      <c r="K212">
        <v>3.5401499487729962</v>
      </c>
      <c r="L212">
        <v>1.051563562143119E-2</v>
      </c>
      <c r="M212">
        <v>2.6680878869212248E-3</v>
      </c>
      <c r="N212" t="s">
        <v>961</v>
      </c>
      <c r="O212" s="1">
        <v>44439</v>
      </c>
      <c r="P212">
        <v>8.7069104284420717E-4</v>
      </c>
      <c r="Q212">
        <v>4.3534552142210362E-7</v>
      </c>
      <c r="R212">
        <v>1.8446687517055901E-2</v>
      </c>
      <c r="S212">
        <v>1.8446252171534481E-2</v>
      </c>
      <c r="T212">
        <v>271</v>
      </c>
    </row>
    <row r="213" spans="1:20" x14ac:dyDescent="0.35">
      <c r="A213" s="1">
        <v>44439</v>
      </c>
      <c r="B213" t="s">
        <v>37</v>
      </c>
      <c r="C213" t="s">
        <v>962</v>
      </c>
      <c r="D213">
        <v>8.2057605529270283E-3</v>
      </c>
      <c r="E213" t="s">
        <v>65</v>
      </c>
      <c r="F213" t="s">
        <v>963</v>
      </c>
      <c r="G213" t="s">
        <v>964</v>
      </c>
      <c r="H213">
        <v>1.230179531711389E-2</v>
      </c>
      <c r="I213">
        <v>4.8871339008776449E-4</v>
      </c>
      <c r="J213">
        <v>-0.44921014508884688</v>
      </c>
      <c r="K213">
        <v>3.586558643195862</v>
      </c>
      <c r="L213">
        <v>1.083565514685059E-2</v>
      </c>
      <c r="M213">
        <v>2.629894593923566E-3</v>
      </c>
      <c r="N213" t="s">
        <v>965</v>
      </c>
      <c r="O213" s="1">
        <v>44469</v>
      </c>
      <c r="P213">
        <v>9.1021464241880512E-4</v>
      </c>
      <c r="Q213">
        <v>4.5510732120940261E-7</v>
      </c>
      <c r="R213">
        <v>-3.8960943313069547E-2</v>
      </c>
      <c r="S213">
        <v>-3.8961398420390758E-2</v>
      </c>
      <c r="T213">
        <v>272</v>
      </c>
    </row>
    <row r="214" spans="1:20" x14ac:dyDescent="0.35">
      <c r="A214" s="1">
        <v>44469</v>
      </c>
      <c r="B214" t="s">
        <v>37</v>
      </c>
      <c r="C214" t="s">
        <v>966</v>
      </c>
      <c r="D214">
        <v>7.4777681905678402E-3</v>
      </c>
      <c r="E214" t="s">
        <v>65</v>
      </c>
      <c r="F214" t="s">
        <v>967</v>
      </c>
      <c r="G214" t="s">
        <v>968</v>
      </c>
      <c r="H214">
        <v>1.142188110732905E-2</v>
      </c>
      <c r="I214">
        <v>5.3605061643614751E-4</v>
      </c>
      <c r="J214">
        <v>-0.48672585062721058</v>
      </c>
      <c r="K214">
        <v>3.3527515720131902</v>
      </c>
      <c r="L214">
        <v>9.8137292580206016E-3</v>
      </c>
      <c r="M214">
        <v>2.3359610674527609E-3</v>
      </c>
      <c r="N214" t="s">
        <v>969</v>
      </c>
      <c r="O214" s="1">
        <v>44500</v>
      </c>
      <c r="P214">
        <v>2.0070207104891939E-3</v>
      </c>
      <c r="Q214">
        <v>1.0035103552445971E-6</v>
      </c>
      <c r="R214">
        <v>4.3927990509937703E-2</v>
      </c>
      <c r="S214">
        <v>4.3926986999582453E-2</v>
      </c>
      <c r="T214">
        <v>273</v>
      </c>
    </row>
    <row r="215" spans="1:20" x14ac:dyDescent="0.35">
      <c r="A215" s="1">
        <v>44500</v>
      </c>
      <c r="B215" t="s">
        <v>37</v>
      </c>
      <c r="C215" t="s">
        <v>970</v>
      </c>
      <c r="D215">
        <v>8.4624453724901853E-3</v>
      </c>
      <c r="E215" t="s">
        <v>65</v>
      </c>
      <c r="F215" t="s">
        <v>971</v>
      </c>
      <c r="G215" t="s">
        <v>972</v>
      </c>
      <c r="H215">
        <v>1.2700048660943529E-2</v>
      </c>
      <c r="I215">
        <v>5.9488244093258106E-4</v>
      </c>
      <c r="J215">
        <v>-0.56611019964944553</v>
      </c>
      <c r="K215">
        <v>3.228268888337019</v>
      </c>
      <c r="L215">
        <v>1.0915401338145791E-2</v>
      </c>
      <c r="M215">
        <v>2.4529559656556038E-3</v>
      </c>
      <c r="N215" t="s">
        <v>973</v>
      </c>
      <c r="O215" s="1">
        <v>44530</v>
      </c>
      <c r="P215">
        <v>1.275000003696958E-3</v>
      </c>
      <c r="Q215">
        <v>6.3750000184847887E-7</v>
      </c>
      <c r="R215">
        <v>1.958889134329608E-2</v>
      </c>
      <c r="S215">
        <v>1.958825384329423E-2</v>
      </c>
      <c r="T215">
        <v>274</v>
      </c>
    </row>
    <row r="216" spans="1:20" x14ac:dyDescent="0.35">
      <c r="A216" s="1">
        <v>44530</v>
      </c>
      <c r="B216" t="s">
        <v>37</v>
      </c>
      <c r="C216" t="s">
        <v>974</v>
      </c>
      <c r="D216">
        <v>7.8732292409072775E-3</v>
      </c>
      <c r="E216" t="s">
        <v>65</v>
      </c>
      <c r="F216" t="s">
        <v>975</v>
      </c>
      <c r="G216" t="s">
        <v>976</v>
      </c>
      <c r="H216">
        <v>1.256817782801712E-2</v>
      </c>
      <c r="I216">
        <v>5.6689520363703658E-4</v>
      </c>
      <c r="J216">
        <v>-0.60518237127658014</v>
      </c>
      <c r="K216">
        <v>3.4518800694045231</v>
      </c>
      <c r="L216">
        <v>1.086749221710601E-2</v>
      </c>
      <c r="M216">
        <v>2.994262976198734E-3</v>
      </c>
      <c r="N216" t="s">
        <v>977</v>
      </c>
      <c r="O216" s="1">
        <v>44561</v>
      </c>
      <c r="P216">
        <v>3.5895351513016038E-2</v>
      </c>
      <c r="Q216">
        <v>1.7947675756508021E-5</v>
      </c>
      <c r="R216">
        <v>2.098201513580545E-2</v>
      </c>
      <c r="S216">
        <v>2.0964067460048939E-2</v>
      </c>
      <c r="T216">
        <v>275</v>
      </c>
    </row>
    <row r="217" spans="1:20" x14ac:dyDescent="0.35">
      <c r="A217" s="1">
        <v>44561</v>
      </c>
      <c r="B217" t="s">
        <v>37</v>
      </c>
      <c r="C217" t="s">
        <v>978</v>
      </c>
      <c r="D217">
        <v>9.9700788467677916E-3</v>
      </c>
      <c r="E217" t="s">
        <v>65</v>
      </c>
      <c r="F217" t="s">
        <v>979</v>
      </c>
      <c r="G217" t="s">
        <v>980</v>
      </c>
      <c r="H217">
        <v>1.45709594070476E-2</v>
      </c>
      <c r="I217">
        <v>6.8340089286032346E-4</v>
      </c>
      <c r="J217">
        <v>-0.25293971024674289</v>
      </c>
      <c r="K217">
        <v>3.3041768222029271</v>
      </c>
      <c r="L217">
        <v>1.252075672846663E-2</v>
      </c>
      <c r="M217">
        <v>2.550677881698838E-3</v>
      </c>
      <c r="N217" t="s">
        <v>981</v>
      </c>
      <c r="O217" s="1">
        <v>44592</v>
      </c>
      <c r="P217">
        <v>1.086189450905695E-2</v>
      </c>
      <c r="Q217">
        <v>5.4309472545284737E-6</v>
      </c>
      <c r="R217">
        <v>-4.6629751008333019E-2</v>
      </c>
      <c r="S217">
        <v>-4.6635181955587537E-2</v>
      </c>
      <c r="T217">
        <v>276</v>
      </c>
    </row>
    <row r="218" spans="1:20" x14ac:dyDescent="0.35">
      <c r="A218" s="1">
        <v>44592</v>
      </c>
      <c r="B218" t="s">
        <v>37</v>
      </c>
      <c r="C218" t="s">
        <v>982</v>
      </c>
      <c r="D218">
        <v>1.500881524519343E-2</v>
      </c>
      <c r="E218" t="s">
        <v>65</v>
      </c>
      <c r="F218" t="s">
        <v>983</v>
      </c>
      <c r="G218" t="s">
        <v>984</v>
      </c>
      <c r="H218">
        <v>1.9812049441753559E-2</v>
      </c>
      <c r="I218">
        <v>4.5338713116375952E-4</v>
      </c>
      <c r="J218">
        <v>0.14980920082788499</v>
      </c>
      <c r="K218">
        <v>4.0625266423377546</v>
      </c>
      <c r="L218">
        <v>1.8451888048262279E-2</v>
      </c>
      <c r="M218">
        <v>3.443072803068849E-3</v>
      </c>
      <c r="N218" t="s">
        <v>985</v>
      </c>
      <c r="O218" s="1">
        <v>44620</v>
      </c>
      <c r="P218">
        <v>8.4971706241087963E-2</v>
      </c>
      <c r="Q218">
        <v>4.248585312054398E-5</v>
      </c>
      <c r="R218">
        <v>-2.7015415042159541E-2</v>
      </c>
      <c r="S218">
        <v>-2.7057900895280089E-2</v>
      </c>
      <c r="T218">
        <v>277</v>
      </c>
    </row>
    <row r="219" spans="1:20" x14ac:dyDescent="0.35">
      <c r="A219" s="1">
        <v>44620</v>
      </c>
      <c r="B219" t="s">
        <v>37</v>
      </c>
      <c r="C219" t="s">
        <v>986</v>
      </c>
      <c r="D219">
        <v>7.4076631030424427E-3</v>
      </c>
      <c r="E219" t="s">
        <v>65</v>
      </c>
      <c r="F219" t="s">
        <v>987</v>
      </c>
      <c r="G219" t="s">
        <v>988</v>
      </c>
      <c r="H219">
        <v>1.2110228983370349E-2</v>
      </c>
      <c r="I219">
        <v>7.7827624431649103E-4</v>
      </c>
      <c r="J219">
        <v>-0.37028417689524601</v>
      </c>
      <c r="K219">
        <v>2.9797381166359811</v>
      </c>
      <c r="L219">
        <v>9.775400250420882E-3</v>
      </c>
      <c r="M219">
        <v>2.3677371473784388E-3</v>
      </c>
      <c r="N219" t="s">
        <v>989</v>
      </c>
      <c r="O219" s="1">
        <v>44651</v>
      </c>
      <c r="P219">
        <v>7.0071347704047215E-2</v>
      </c>
      <c r="Q219">
        <v>3.5035673852023611E-5</v>
      </c>
      <c r="R219">
        <v>4.0581952275473513E-3</v>
      </c>
      <c r="S219">
        <v>4.0231595536953284E-3</v>
      </c>
      <c r="T219">
        <v>278</v>
      </c>
    </row>
    <row r="220" spans="1:20" x14ac:dyDescent="0.35">
      <c r="A220" s="1">
        <v>44651</v>
      </c>
      <c r="B220" t="s">
        <v>37</v>
      </c>
      <c r="C220" t="s">
        <v>990</v>
      </c>
      <c r="D220">
        <v>6.5058237742412189E-3</v>
      </c>
      <c r="E220" t="s">
        <v>65</v>
      </c>
      <c r="F220" t="s">
        <v>991</v>
      </c>
      <c r="G220" t="s">
        <v>992</v>
      </c>
      <c r="H220">
        <v>1.0599112727870161E-2</v>
      </c>
      <c r="I220">
        <v>6.4211084012967621E-4</v>
      </c>
      <c r="J220">
        <v>-0.56313129532648987</v>
      </c>
      <c r="K220">
        <v>3.0746722835678941</v>
      </c>
      <c r="L220">
        <v>8.672780207481131E-3</v>
      </c>
      <c r="M220">
        <v>2.1669564332399121E-3</v>
      </c>
      <c r="N220" t="s">
        <v>993</v>
      </c>
      <c r="O220" s="1">
        <v>44681</v>
      </c>
      <c r="P220">
        <v>1.4106099761045149E-2</v>
      </c>
      <c r="Q220">
        <v>7.0530498805225784E-6</v>
      </c>
      <c r="R220">
        <v>-7.81009959310658E-2</v>
      </c>
      <c r="S220">
        <v>-7.8108048980946324E-2</v>
      </c>
      <c r="T220">
        <v>279</v>
      </c>
    </row>
    <row r="221" spans="1:20" x14ac:dyDescent="0.35">
      <c r="A221" s="1">
        <v>44681</v>
      </c>
      <c r="B221" t="s">
        <v>37</v>
      </c>
      <c r="C221" t="s">
        <v>994</v>
      </c>
      <c r="D221">
        <v>4.6153427558740879E-3</v>
      </c>
      <c r="E221" t="s">
        <v>65</v>
      </c>
      <c r="F221" t="s">
        <v>995</v>
      </c>
      <c r="G221" t="s">
        <v>996</v>
      </c>
      <c r="H221">
        <v>9.4418230819291356E-3</v>
      </c>
      <c r="I221">
        <v>9.7472060060545436E-4</v>
      </c>
      <c r="J221">
        <v>-0.55466450498236552</v>
      </c>
      <c r="K221">
        <v>3.2621465931423912</v>
      </c>
      <c r="L221">
        <v>6.5176612801127734E-3</v>
      </c>
      <c r="M221">
        <v>1.9023185242386851E-3</v>
      </c>
      <c r="N221" t="s">
        <v>997</v>
      </c>
      <c r="O221" s="1">
        <v>44712</v>
      </c>
      <c r="P221">
        <v>7.7347592569232959E-2</v>
      </c>
      <c r="Q221">
        <v>3.8673796284616478E-5</v>
      </c>
      <c r="R221">
        <v>9.5286357275718746E-4</v>
      </c>
      <c r="S221">
        <v>9.1418977647257096E-4</v>
      </c>
      <c r="T221">
        <v>280</v>
      </c>
    </row>
    <row r="222" spans="1:20" x14ac:dyDescent="0.35">
      <c r="A222" s="1">
        <v>44712</v>
      </c>
      <c r="B222" t="s">
        <v>37</v>
      </c>
      <c r="C222" t="s">
        <v>998</v>
      </c>
      <c r="D222">
        <v>6.2042827676347424E-3</v>
      </c>
      <c r="E222" t="s">
        <v>65</v>
      </c>
      <c r="F222" t="s">
        <v>999</v>
      </c>
      <c r="G222" t="s">
        <v>1000</v>
      </c>
      <c r="H222">
        <v>1.172682182982899E-2</v>
      </c>
      <c r="I222">
        <v>1.1278355107131139E-3</v>
      </c>
      <c r="J222">
        <v>-0.71989207637428576</v>
      </c>
      <c r="K222">
        <v>3.5598361634182258</v>
      </c>
      <c r="L222">
        <v>8.3433152976896442E-3</v>
      </c>
      <c r="M222">
        <v>2.1390325300549031E-3</v>
      </c>
      <c r="N222" t="s">
        <v>1001</v>
      </c>
      <c r="O222" s="1">
        <v>44742</v>
      </c>
      <c r="P222">
        <v>4.5275939206404943E-2</v>
      </c>
      <c r="Q222">
        <v>2.263796960320247E-5</v>
      </c>
      <c r="R222">
        <v>-5.7781200904570777E-2</v>
      </c>
      <c r="S222">
        <v>-5.7803838874173993E-2</v>
      </c>
      <c r="T222">
        <v>281</v>
      </c>
    </row>
    <row r="223" spans="1:20" x14ac:dyDescent="0.35">
      <c r="A223" s="1">
        <v>44742</v>
      </c>
      <c r="B223" t="s">
        <v>37</v>
      </c>
      <c r="C223" t="s">
        <v>1002</v>
      </c>
      <c r="D223">
        <v>-4.1472472645508714E-3</v>
      </c>
      <c r="E223" t="s">
        <v>81</v>
      </c>
      <c r="F223" t="s">
        <v>1003</v>
      </c>
      <c r="G223" t="s">
        <v>1004</v>
      </c>
      <c r="H223">
        <v>2.7672511322534002E-3</v>
      </c>
      <c r="I223">
        <v>5.0549631937640686E-4</v>
      </c>
      <c r="J223">
        <v>0.31977223700200108</v>
      </c>
      <c r="K223">
        <v>2.901340690355255</v>
      </c>
      <c r="L223">
        <v>1.25076217412418E-3</v>
      </c>
      <c r="M223">
        <v>5.3980094386750499E-3</v>
      </c>
      <c r="N223" t="s">
        <v>1005</v>
      </c>
      <c r="O223" s="1">
        <v>44773</v>
      </c>
      <c r="P223">
        <v>0.71168211151620653</v>
      </c>
      <c r="Q223">
        <v>3.5584105575810329E-4</v>
      </c>
      <c r="R223">
        <v>4.110977135526879E-2</v>
      </c>
      <c r="S223">
        <v>4.0753930299510688E-2</v>
      </c>
      <c r="T223">
        <v>282</v>
      </c>
    </row>
    <row r="224" spans="1:20" x14ac:dyDescent="0.35">
      <c r="A224" s="1">
        <v>44773</v>
      </c>
      <c r="B224" t="s">
        <v>37</v>
      </c>
      <c r="C224" t="s">
        <v>1006</v>
      </c>
      <c r="D224">
        <v>4.3531478472352983E-3</v>
      </c>
      <c r="E224" t="s">
        <v>65</v>
      </c>
      <c r="F224" t="s">
        <v>1007</v>
      </c>
      <c r="G224" t="s">
        <v>1008</v>
      </c>
      <c r="H224">
        <v>8.895211036934662E-3</v>
      </c>
      <c r="I224">
        <v>9.4799024191841749E-4</v>
      </c>
      <c r="J224">
        <v>-0.64573524346885725</v>
      </c>
      <c r="K224">
        <v>3.692354855264949</v>
      </c>
      <c r="L224">
        <v>6.0512403111794098E-3</v>
      </c>
      <c r="M224">
        <v>1.698092463944111E-3</v>
      </c>
      <c r="N224" t="s">
        <v>1009</v>
      </c>
      <c r="O224" s="1">
        <v>44804</v>
      </c>
      <c r="P224">
        <v>0.7698659485073045</v>
      </c>
      <c r="Q224">
        <v>3.8493297425365219E-4</v>
      </c>
      <c r="R224">
        <v>-4.8066762104490957E-2</v>
      </c>
      <c r="S224">
        <v>-4.8451695078744618E-2</v>
      </c>
      <c r="T224">
        <v>283</v>
      </c>
    </row>
    <row r="225" spans="1:20" x14ac:dyDescent="0.35">
      <c r="A225" s="1">
        <v>44804</v>
      </c>
      <c r="B225" t="s">
        <v>37</v>
      </c>
      <c r="C225" t="s">
        <v>1010</v>
      </c>
      <c r="D225">
        <v>3.0442281581162219E-3</v>
      </c>
      <c r="E225" t="s">
        <v>1011</v>
      </c>
      <c r="F225" t="s">
        <v>1012</v>
      </c>
      <c r="G225" t="s">
        <v>1013</v>
      </c>
      <c r="H225">
        <v>7.2506868006884497E-3</v>
      </c>
      <c r="I225">
        <v>9.4689132414921859E-4</v>
      </c>
      <c r="J225">
        <v>-0.56570187071134848</v>
      </c>
      <c r="K225">
        <v>3.6105468051750131</v>
      </c>
      <c r="L225">
        <v>4.4100128282407941E-3</v>
      </c>
      <c r="M225">
        <v>1.365784670124572E-3</v>
      </c>
      <c r="N225" t="s">
        <v>1014</v>
      </c>
      <c r="O225" s="1">
        <v>44834</v>
      </c>
      <c r="P225">
        <v>0.1132911286772437</v>
      </c>
      <c r="Q225">
        <v>5.6645564338621838E-5</v>
      </c>
      <c r="R225">
        <v>-8.3770934772740904E-2</v>
      </c>
      <c r="S225">
        <v>-8.382758033707953E-2</v>
      </c>
      <c r="T225">
        <v>284</v>
      </c>
    </row>
    <row r="226" spans="1:20" x14ac:dyDescent="0.35">
      <c r="A226" s="1">
        <v>44834</v>
      </c>
      <c r="B226" t="s">
        <v>37</v>
      </c>
      <c r="C226" t="s">
        <v>1015</v>
      </c>
      <c r="D226">
        <v>7.8930317014631914E-3</v>
      </c>
      <c r="E226" t="s">
        <v>1011</v>
      </c>
      <c r="F226" t="s">
        <v>1016</v>
      </c>
      <c r="G226" t="s">
        <v>1017</v>
      </c>
      <c r="H226">
        <v>1.253934328503868E-2</v>
      </c>
      <c r="I226">
        <v>9.108330187741875E-4</v>
      </c>
      <c r="J226">
        <v>-0.14541186164219691</v>
      </c>
      <c r="K226">
        <v>4.0243601526771977</v>
      </c>
      <c r="L226">
        <v>9.8068442287161158E-3</v>
      </c>
      <c r="M226">
        <v>1.913812527252924E-3</v>
      </c>
      <c r="N226" t="s">
        <v>1018</v>
      </c>
      <c r="O226" s="1">
        <v>44865</v>
      </c>
      <c r="P226">
        <v>0.10563566571293299</v>
      </c>
      <c r="Q226">
        <v>5.2817832856466511E-5</v>
      </c>
      <c r="R226">
        <v>5.5711336033678512E-2</v>
      </c>
      <c r="S226">
        <v>5.5658518200822037E-2</v>
      </c>
      <c r="T226">
        <v>285</v>
      </c>
    </row>
    <row r="227" spans="1:20" x14ac:dyDescent="0.35">
      <c r="A227" s="1">
        <v>44865</v>
      </c>
      <c r="B227" t="s">
        <v>37</v>
      </c>
      <c r="C227" t="s">
        <v>1019</v>
      </c>
      <c r="D227">
        <v>3.6034437949508131E-3</v>
      </c>
      <c r="E227" t="s">
        <v>1011</v>
      </c>
      <c r="F227" t="s">
        <v>1020</v>
      </c>
      <c r="G227" t="s">
        <v>1021</v>
      </c>
      <c r="H227">
        <v>7.3254833785325324E-3</v>
      </c>
      <c r="I227">
        <v>7.0447389983215492E-4</v>
      </c>
      <c r="J227">
        <v>-0.55523408155137322</v>
      </c>
      <c r="K227">
        <v>4.9072434066523094</v>
      </c>
      <c r="L227">
        <v>5.2120616790360674E-3</v>
      </c>
      <c r="M227">
        <v>1.6086178840852539E-3</v>
      </c>
      <c r="N227" t="s">
        <v>1022</v>
      </c>
      <c r="O227" s="1">
        <v>44895</v>
      </c>
      <c r="P227">
        <v>0.1069228380453163</v>
      </c>
      <c r="Q227">
        <v>5.346141902265816E-5</v>
      </c>
      <c r="R227">
        <v>4.3192585406644467E-2</v>
      </c>
      <c r="S227">
        <v>4.3139123987621812E-2</v>
      </c>
      <c r="T227">
        <v>286</v>
      </c>
    </row>
    <row r="228" spans="1:20" x14ac:dyDescent="0.35">
      <c r="A228" s="1">
        <v>44895</v>
      </c>
      <c r="B228" t="s">
        <v>37</v>
      </c>
      <c r="C228" t="s">
        <v>1023</v>
      </c>
      <c r="D228">
        <v>2.403968919138977E-3</v>
      </c>
      <c r="E228" t="s">
        <v>818</v>
      </c>
      <c r="F228" t="s">
        <v>1024</v>
      </c>
      <c r="G228" t="s">
        <v>1025</v>
      </c>
      <c r="H228">
        <v>5.9575528959108096E-3</v>
      </c>
      <c r="I228">
        <v>7.3836868086312769E-4</v>
      </c>
      <c r="J228">
        <v>-0.91948689408452833</v>
      </c>
      <c r="K228">
        <v>3.7247956411825749</v>
      </c>
      <c r="L228">
        <v>3.7424468533214269E-3</v>
      </c>
      <c r="M228">
        <v>1.33847793418245E-3</v>
      </c>
      <c r="N228" t="s">
        <v>1026</v>
      </c>
      <c r="O228" s="1">
        <v>44926</v>
      </c>
      <c r="P228">
        <v>0.33726689769524398</v>
      </c>
      <c r="Q228">
        <v>1.68633448847622E-4</v>
      </c>
      <c r="R228">
        <v>-4.4164655207987777E-2</v>
      </c>
      <c r="S228">
        <v>-4.4333288656835397E-2</v>
      </c>
      <c r="T228">
        <v>287</v>
      </c>
    </row>
    <row r="229" spans="1:20" x14ac:dyDescent="0.35">
      <c r="A229" s="1">
        <v>44926</v>
      </c>
      <c r="B229" t="s">
        <v>37</v>
      </c>
      <c r="C229" t="s">
        <v>1027</v>
      </c>
      <c r="D229">
        <v>5.6800337446125766E-3</v>
      </c>
      <c r="E229" t="s">
        <v>1011</v>
      </c>
      <c r="F229" t="s">
        <v>1028</v>
      </c>
      <c r="G229" t="s">
        <v>1029</v>
      </c>
      <c r="H229">
        <v>1.140070947453483E-2</v>
      </c>
      <c r="I229">
        <v>1.2837746073245629E-3</v>
      </c>
      <c r="J229">
        <v>-0.27225847898770072</v>
      </c>
      <c r="K229">
        <v>4.729418447101426</v>
      </c>
      <c r="L229">
        <v>7.5493856525611436E-3</v>
      </c>
      <c r="M229">
        <v>1.8693519079485681E-3</v>
      </c>
      <c r="N229" t="s">
        <v>1030</v>
      </c>
      <c r="O229" s="1">
        <v>44957</v>
      </c>
      <c r="P229">
        <v>0.33832133096596129</v>
      </c>
      <c r="Q229">
        <v>1.6916066548298061E-4</v>
      </c>
      <c r="R229">
        <v>4.9337754993798152E-2</v>
      </c>
      <c r="S229">
        <v>4.9168594328315163E-2</v>
      </c>
      <c r="T229">
        <v>288</v>
      </c>
    </row>
    <row r="230" spans="1:20" x14ac:dyDescent="0.35">
      <c r="A230" s="1">
        <v>44957</v>
      </c>
      <c r="B230" t="s">
        <v>37</v>
      </c>
      <c r="C230" t="s">
        <v>1031</v>
      </c>
      <c r="D230">
        <v>6.8688178637254351E-3</v>
      </c>
      <c r="E230" t="s">
        <v>65</v>
      </c>
      <c r="F230" t="s">
        <v>1032</v>
      </c>
      <c r="G230" t="s">
        <v>1033</v>
      </c>
      <c r="H230">
        <v>1.212418603615297E-2</v>
      </c>
      <c r="I230">
        <v>1.271089292016841E-3</v>
      </c>
      <c r="J230">
        <v>-0.63423863358231103</v>
      </c>
      <c r="K230">
        <v>3.201589967547561</v>
      </c>
      <c r="L230">
        <v>8.3109181601024439E-3</v>
      </c>
      <c r="M230">
        <v>1.4421002963770091E-3</v>
      </c>
      <c r="N230" t="s">
        <v>1034</v>
      </c>
      <c r="O230" s="1">
        <v>44985</v>
      </c>
      <c r="P230">
        <v>0.33832133096596118</v>
      </c>
      <c r="Q230">
        <v>1.6916066548298061E-4</v>
      </c>
      <c r="R230">
        <v>-1.8802362496478011E-2</v>
      </c>
      <c r="S230">
        <v>-1.897152316196099E-2</v>
      </c>
      <c r="T230">
        <v>289</v>
      </c>
    </row>
    <row r="231" spans="1:20" x14ac:dyDescent="0.35">
      <c r="A231" s="1">
        <v>44985</v>
      </c>
      <c r="B231" t="s">
        <v>37</v>
      </c>
      <c r="C231" t="s">
        <v>1035</v>
      </c>
      <c r="D231">
        <v>6.7157767186161151E-3</v>
      </c>
      <c r="E231" t="s">
        <v>1011</v>
      </c>
      <c r="F231" t="s">
        <v>1036</v>
      </c>
      <c r="G231" t="s">
        <v>1037</v>
      </c>
      <c r="H231">
        <v>1.190373804695604E-2</v>
      </c>
      <c r="I231">
        <v>1.167492959518981E-3</v>
      </c>
      <c r="J231">
        <v>-0.44104126373631458</v>
      </c>
      <c r="K231">
        <v>3.1276018276469548</v>
      </c>
      <c r="L231">
        <v>8.4012591683990962E-3</v>
      </c>
      <c r="M231">
        <v>1.6854824497829809E-3</v>
      </c>
      <c r="N231" t="s">
        <v>1038</v>
      </c>
      <c r="O231" s="1">
        <v>45016</v>
      </c>
      <c r="P231">
        <v>0.117432369318304</v>
      </c>
      <c r="Q231">
        <v>5.8716184659152022E-5</v>
      </c>
      <c r="R231">
        <v>5.7679497392077457E-2</v>
      </c>
      <c r="S231">
        <v>5.7620781207418308E-2</v>
      </c>
      <c r="T231">
        <v>290</v>
      </c>
    </row>
    <row r="232" spans="1:20" x14ac:dyDescent="0.35">
      <c r="A232" s="1">
        <v>45016</v>
      </c>
      <c r="B232" t="s">
        <v>37</v>
      </c>
      <c r="C232" t="s">
        <v>1039</v>
      </c>
      <c r="D232">
        <v>7.7368895776764486E-3</v>
      </c>
      <c r="E232" t="s">
        <v>65</v>
      </c>
      <c r="F232" t="s">
        <v>1040</v>
      </c>
      <c r="G232" t="s">
        <v>1041</v>
      </c>
      <c r="H232">
        <v>1.332634378016821E-2</v>
      </c>
      <c r="I232">
        <v>1.183458271659146E-3</v>
      </c>
      <c r="J232">
        <v>-0.50078938026014741</v>
      </c>
      <c r="K232">
        <v>2.885713929678936</v>
      </c>
      <c r="L232">
        <v>9.7759689651907671E-3</v>
      </c>
      <c r="M232">
        <v>2.039079387514318E-3</v>
      </c>
      <c r="N232" t="s">
        <v>1042</v>
      </c>
      <c r="O232" s="1">
        <v>45046</v>
      </c>
      <c r="P232">
        <v>0.1083152278262977</v>
      </c>
      <c r="Q232">
        <v>5.4157613913148829E-5</v>
      </c>
      <c r="R232">
        <v>6.447152298285205E-3</v>
      </c>
      <c r="S232">
        <v>6.3929946843720564E-3</v>
      </c>
      <c r="T232">
        <v>291</v>
      </c>
    </row>
    <row r="233" spans="1:20" x14ac:dyDescent="0.35">
      <c r="A233" s="1">
        <v>45046</v>
      </c>
      <c r="B233" t="s">
        <v>37</v>
      </c>
      <c r="C233" t="s">
        <v>1043</v>
      </c>
      <c r="D233">
        <v>1.994105164636236E-3</v>
      </c>
      <c r="E233" t="s">
        <v>818</v>
      </c>
      <c r="F233" t="s">
        <v>1044</v>
      </c>
      <c r="G233" t="s">
        <v>1045</v>
      </c>
      <c r="H233">
        <v>6.296123747217974E-3</v>
      </c>
      <c r="I233">
        <v>8.8946339149930677E-4</v>
      </c>
      <c r="J233">
        <v>-0.8224567751082591</v>
      </c>
      <c r="K233">
        <v>3.1962846025428928</v>
      </c>
      <c r="L233">
        <v>3.6277335727200538E-3</v>
      </c>
      <c r="M233">
        <v>1.633628408083817E-3</v>
      </c>
      <c r="N233" t="s">
        <v>1046</v>
      </c>
      <c r="O233" s="1">
        <v>45077</v>
      </c>
      <c r="P233">
        <v>0.32345648171766889</v>
      </c>
      <c r="Q233">
        <v>1.6172824085883451E-4</v>
      </c>
      <c r="R233">
        <v>1.3002574485924611E-2</v>
      </c>
      <c r="S233">
        <v>1.284084624506578E-2</v>
      </c>
      <c r="T233">
        <v>292</v>
      </c>
    </row>
    <row r="234" spans="1:20" x14ac:dyDescent="0.35">
      <c r="A234" s="1">
        <v>45077</v>
      </c>
      <c r="B234" t="s">
        <v>37</v>
      </c>
      <c r="C234" t="s">
        <v>1047</v>
      </c>
      <c r="D234">
        <v>1.6507498061066549E-3</v>
      </c>
      <c r="E234" t="s">
        <v>818</v>
      </c>
      <c r="F234" t="s">
        <v>1048</v>
      </c>
      <c r="G234" t="s">
        <v>1049</v>
      </c>
      <c r="H234">
        <v>6.340169236305899E-3</v>
      </c>
      <c r="I234">
        <v>9.668950834359533E-4</v>
      </c>
      <c r="J234">
        <v>-0.76545365817074851</v>
      </c>
      <c r="K234">
        <v>3.105422215277422</v>
      </c>
      <c r="L234">
        <v>3.439483985998039E-3</v>
      </c>
      <c r="M234">
        <v>1.7887341798913841E-3</v>
      </c>
      <c r="N234" t="s">
        <v>1050</v>
      </c>
      <c r="O234" s="1">
        <v>45107</v>
      </c>
      <c r="P234">
        <v>9.0162365561635982E-2</v>
      </c>
      <c r="Q234">
        <v>4.5081182780817992E-5</v>
      </c>
      <c r="R234">
        <v>3.1841978848590038E-2</v>
      </c>
      <c r="S234">
        <v>3.1796897665809218E-2</v>
      </c>
      <c r="T234">
        <v>293</v>
      </c>
    </row>
    <row r="235" spans="1:20" x14ac:dyDescent="0.35">
      <c r="A235" s="1">
        <v>45107</v>
      </c>
      <c r="B235" t="s">
        <v>37</v>
      </c>
      <c r="C235" t="s">
        <v>1051</v>
      </c>
      <c r="D235">
        <v>7.9812094812794186E-3</v>
      </c>
      <c r="E235" t="s">
        <v>65</v>
      </c>
      <c r="F235" t="s">
        <v>1052</v>
      </c>
      <c r="G235" t="s">
        <v>1053</v>
      </c>
      <c r="H235">
        <v>1.380601558226483E-2</v>
      </c>
      <c r="I235">
        <v>1.175597706108853E-3</v>
      </c>
      <c r="J235">
        <v>-0.55074811308621785</v>
      </c>
      <c r="K235">
        <v>2.962221370997947</v>
      </c>
      <c r="L235">
        <v>1.0279222463938271E-2</v>
      </c>
      <c r="M235">
        <v>2.2980129826588522E-3</v>
      </c>
      <c r="N235" t="s">
        <v>1054</v>
      </c>
      <c r="O235" s="1">
        <v>45138</v>
      </c>
      <c r="P235">
        <v>0.23280231015706179</v>
      </c>
      <c r="Q235">
        <v>1.1640115507853089E-4</v>
      </c>
      <c r="R235">
        <v>1.429550809395483E-2</v>
      </c>
      <c r="S235">
        <v>1.41791069388763E-2</v>
      </c>
      <c r="T235">
        <v>294</v>
      </c>
    </row>
    <row r="236" spans="1:20" x14ac:dyDescent="0.35">
      <c r="A236" s="1">
        <v>45138</v>
      </c>
      <c r="B236" t="s">
        <v>37</v>
      </c>
      <c r="C236" t="s">
        <v>1055</v>
      </c>
      <c r="D236">
        <v>7.7134083718196711E-3</v>
      </c>
      <c r="E236" t="s">
        <v>65</v>
      </c>
      <c r="F236" t="s">
        <v>1056</v>
      </c>
      <c r="G236" t="s">
        <v>1057</v>
      </c>
      <c r="H236">
        <v>1.370556645616094E-2</v>
      </c>
      <c r="I236">
        <v>1.2002746770237379E-3</v>
      </c>
      <c r="J236">
        <v>-0.55238526724275616</v>
      </c>
      <c r="K236">
        <v>2.9141494909492671</v>
      </c>
      <c r="L236">
        <v>1.010474242508972E-2</v>
      </c>
      <c r="M236">
        <v>2.391334053270053E-3</v>
      </c>
      <c r="N236" t="s">
        <v>1058</v>
      </c>
      <c r="O236" s="1">
        <v>45169</v>
      </c>
      <c r="P236">
        <v>1.000039104201045E-2</v>
      </c>
      <c r="Q236">
        <v>5.0001955210052238E-6</v>
      </c>
      <c r="R236">
        <v>-1.220754461945925E-2</v>
      </c>
      <c r="S236">
        <v>-1.221254481498025E-2</v>
      </c>
      <c r="T236">
        <v>295</v>
      </c>
    </row>
    <row r="237" spans="1:20" x14ac:dyDescent="0.35">
      <c r="A237" s="1">
        <v>45169</v>
      </c>
      <c r="B237" t="s">
        <v>37</v>
      </c>
      <c r="C237" t="s">
        <v>1059</v>
      </c>
      <c r="D237">
        <v>6.5634717230774967E-3</v>
      </c>
      <c r="E237" t="s">
        <v>1011</v>
      </c>
      <c r="F237" t="s">
        <v>1060</v>
      </c>
      <c r="G237" t="s">
        <v>1061</v>
      </c>
      <c r="H237">
        <v>1.2029597401487201E-2</v>
      </c>
      <c r="I237">
        <v>1.221647475901093E-3</v>
      </c>
      <c r="J237">
        <v>-0.38621721166803802</v>
      </c>
      <c r="K237">
        <v>3.4467719401888188</v>
      </c>
      <c r="L237">
        <v>8.3646549737839242E-3</v>
      </c>
      <c r="M237">
        <v>1.801183250706427E-3</v>
      </c>
      <c r="N237" t="s">
        <v>1062</v>
      </c>
      <c r="O237" s="1">
        <v>45199</v>
      </c>
      <c r="P237">
        <v>0.23130578858639239</v>
      </c>
      <c r="Q237">
        <v>1.156528942931962E-4</v>
      </c>
      <c r="R237">
        <v>-3.9583290027540602E-2</v>
      </c>
      <c r="S237">
        <v>-3.9698942921833798E-2</v>
      </c>
      <c r="T237">
        <v>296</v>
      </c>
    </row>
    <row r="238" spans="1:20" x14ac:dyDescent="0.35">
      <c r="A238" s="1">
        <v>45199</v>
      </c>
      <c r="B238" t="s">
        <v>37</v>
      </c>
      <c r="C238" t="s">
        <v>1063</v>
      </c>
      <c r="D238">
        <v>6.7446233764186063E-3</v>
      </c>
      <c r="E238" t="s">
        <v>1011</v>
      </c>
      <c r="F238" t="s">
        <v>1064</v>
      </c>
      <c r="G238" t="s">
        <v>1065</v>
      </c>
      <c r="H238">
        <v>1.242407406053353E-2</v>
      </c>
      <c r="I238">
        <v>1.175437933375157E-3</v>
      </c>
      <c r="J238">
        <v>-0.42553518643334542</v>
      </c>
      <c r="K238">
        <v>3.0316246137298619</v>
      </c>
      <c r="L238">
        <v>8.8977602604080608E-3</v>
      </c>
      <c r="M238">
        <v>2.1531368839894541E-3</v>
      </c>
      <c r="N238" t="s">
        <v>1066</v>
      </c>
      <c r="O238" s="1">
        <v>45230</v>
      </c>
      <c r="P238">
        <v>0.13388003820548181</v>
      </c>
      <c r="Q238">
        <v>6.6940019102740907E-5</v>
      </c>
      <c r="R238">
        <v>-1.511286134581096E-2</v>
      </c>
      <c r="S238">
        <v>-1.51798013649137E-2</v>
      </c>
      <c r="T238">
        <v>297</v>
      </c>
    </row>
    <row r="239" spans="1:20" x14ac:dyDescent="0.35">
      <c r="A239" s="1">
        <v>45230</v>
      </c>
      <c r="B239" t="s">
        <v>37</v>
      </c>
      <c r="C239" t="s">
        <v>1067</v>
      </c>
      <c r="D239">
        <v>-2.5114277323575892E-3</v>
      </c>
      <c r="E239" t="s">
        <v>1068</v>
      </c>
      <c r="F239" t="s">
        <v>1069</v>
      </c>
      <c r="G239" t="s">
        <v>1070</v>
      </c>
      <c r="H239">
        <v>2.6796338316640001E-3</v>
      </c>
      <c r="I239">
        <v>6.9886376329978165E-4</v>
      </c>
      <c r="J239">
        <v>-8.9309619069179905E-2</v>
      </c>
      <c r="K239">
        <v>2.6119848938313601</v>
      </c>
      <c r="L239">
        <v>5.830425417646546E-4</v>
      </c>
      <c r="M239">
        <v>3.0944702741222429E-3</v>
      </c>
      <c r="N239" t="s">
        <v>1071</v>
      </c>
      <c r="O239" s="1">
        <v>45260</v>
      </c>
      <c r="P239">
        <v>0.67164849412291217</v>
      </c>
      <c r="Q239">
        <v>3.3582424706145612E-4</v>
      </c>
      <c r="R239">
        <v>6.6520940354430555E-2</v>
      </c>
      <c r="S239">
        <v>6.6185116107369102E-2</v>
      </c>
      <c r="T239">
        <v>298</v>
      </c>
    </row>
    <row r="240" spans="1:20" x14ac:dyDescent="0.35">
      <c r="A240" s="1">
        <v>45260</v>
      </c>
      <c r="B240" t="s">
        <v>37</v>
      </c>
      <c r="C240" t="s">
        <v>1072</v>
      </c>
      <c r="D240">
        <v>7.406388504362575E-3</v>
      </c>
      <c r="E240" t="s">
        <v>1011</v>
      </c>
      <c r="F240" t="s">
        <v>1073</v>
      </c>
      <c r="G240" t="s">
        <v>1074</v>
      </c>
      <c r="H240">
        <v>1.381860622608581E-2</v>
      </c>
      <c r="I240">
        <v>1.285534609687812E-3</v>
      </c>
      <c r="J240">
        <v>-0.51507128114942102</v>
      </c>
      <c r="K240">
        <v>3.2051202087822079</v>
      </c>
      <c r="L240">
        <v>9.9620023970223796E-3</v>
      </c>
      <c r="M240">
        <v>2.555613892659805E-3</v>
      </c>
      <c r="N240" t="s">
        <v>1075</v>
      </c>
      <c r="O240" s="1">
        <v>45291</v>
      </c>
      <c r="P240">
        <v>0.73225830811849968</v>
      </c>
      <c r="Q240">
        <v>3.6612915405924993E-4</v>
      </c>
      <c r="R240">
        <v>3.9777828679138628E-2</v>
      </c>
      <c r="S240">
        <v>3.9411699525079377E-2</v>
      </c>
      <c r="T240">
        <v>299</v>
      </c>
    </row>
    <row r="241" spans="1:20" x14ac:dyDescent="0.35">
      <c r="A241" s="1">
        <v>45291</v>
      </c>
      <c r="B241" t="s">
        <v>37</v>
      </c>
      <c r="C241" t="s">
        <v>1076</v>
      </c>
      <c r="D241">
        <v>-2.2670988194719078E-3</v>
      </c>
      <c r="E241" t="s">
        <v>1068</v>
      </c>
      <c r="F241" t="s">
        <v>1077</v>
      </c>
      <c r="G241" t="s">
        <v>1078</v>
      </c>
      <c r="H241">
        <v>3.1501010138396748E-3</v>
      </c>
      <c r="I241">
        <v>7.8786901768311969E-4</v>
      </c>
      <c r="J241">
        <v>-0.2203826593474823</v>
      </c>
      <c r="K241">
        <v>2.5016612289671412</v>
      </c>
      <c r="L241">
        <v>7.8649396079031588E-4</v>
      </c>
      <c r="M241">
        <v>3.0535927802622241E-3</v>
      </c>
      <c r="N241" t="s">
        <v>1079</v>
      </c>
      <c r="O241" s="1">
        <v>45322</v>
      </c>
      <c r="P241">
        <v>0.66718514895631675</v>
      </c>
      <c r="Q241">
        <v>3.3359257447815842E-4</v>
      </c>
      <c r="R241">
        <v>7.2081027712511594E-3</v>
      </c>
      <c r="S241">
        <v>6.874510196773001E-3</v>
      </c>
      <c r="T241">
        <v>300</v>
      </c>
    </row>
    <row r="242" spans="1:20" x14ac:dyDescent="0.35">
      <c r="A242" s="1">
        <v>45322</v>
      </c>
      <c r="B242" t="s">
        <v>37</v>
      </c>
      <c r="C242" t="s">
        <v>1080</v>
      </c>
      <c r="D242">
        <v>-2.700128640842599E-3</v>
      </c>
      <c r="E242" t="s">
        <v>1068</v>
      </c>
      <c r="F242" t="s">
        <v>1081</v>
      </c>
      <c r="G242" t="s">
        <v>1082</v>
      </c>
      <c r="H242">
        <v>2.537613222251078E-3</v>
      </c>
      <c r="I242">
        <v>7.7239014993466773E-4</v>
      </c>
      <c r="J242">
        <v>-0.17947327565766699</v>
      </c>
      <c r="K242">
        <v>2.553230916246239</v>
      </c>
      <c r="L242">
        <v>2.2044277244707459E-4</v>
      </c>
      <c r="M242">
        <v>2.920571413289674E-3</v>
      </c>
      <c r="N242" t="s">
        <v>1083</v>
      </c>
      <c r="O242" s="1">
        <v>45351</v>
      </c>
      <c r="P242">
        <v>1.6172979355104731E-2</v>
      </c>
      <c r="Q242">
        <v>8.0864896775523639E-6</v>
      </c>
      <c r="R242">
        <v>1.7212595312870449E-2</v>
      </c>
      <c r="S242">
        <v>1.72045088231929E-2</v>
      </c>
      <c r="T242">
        <v>301</v>
      </c>
    </row>
    <row r="243" spans="1:20" x14ac:dyDescent="0.35">
      <c r="A243" s="1">
        <v>45351</v>
      </c>
      <c r="B243" t="s">
        <v>37</v>
      </c>
      <c r="C243" t="s">
        <v>1084</v>
      </c>
      <c r="D243">
        <v>-4.0382682451829697E-3</v>
      </c>
      <c r="E243" t="s">
        <v>1011</v>
      </c>
      <c r="F243" t="s">
        <v>1085</v>
      </c>
      <c r="G243" t="s">
        <v>1086</v>
      </c>
      <c r="H243">
        <v>1.850848455324197E-3</v>
      </c>
      <c r="I243">
        <v>1.133337025025979E-3</v>
      </c>
      <c r="J243">
        <v>-0.28290232154905998</v>
      </c>
      <c r="K243">
        <v>3.2473159189507199</v>
      </c>
      <c r="L243">
        <v>-1.5491626197537409E-3</v>
      </c>
      <c r="M243">
        <v>2.4891056254292289E-3</v>
      </c>
      <c r="N243" t="s">
        <v>1087</v>
      </c>
      <c r="O243" s="1">
        <v>45382</v>
      </c>
      <c r="P243">
        <v>0.21807537380691511</v>
      </c>
      <c r="Q243">
        <v>1.090376869034576E-4</v>
      </c>
      <c r="R243">
        <v>2.3630987679970621E-2</v>
      </c>
      <c r="S243">
        <v>2.352194999306717E-2</v>
      </c>
      <c r="T243">
        <v>302</v>
      </c>
    </row>
    <row r="244" spans="1:20" x14ac:dyDescent="0.35">
      <c r="A244" s="1">
        <v>45382</v>
      </c>
      <c r="B244" t="s">
        <v>37</v>
      </c>
      <c r="C244" t="s">
        <v>1088</v>
      </c>
      <c r="D244">
        <v>-6.0731859074254733E-3</v>
      </c>
      <c r="E244" t="s">
        <v>81</v>
      </c>
      <c r="F244" t="s">
        <v>1089</v>
      </c>
      <c r="G244" t="s">
        <v>1090</v>
      </c>
      <c r="H244">
        <v>1.780317002418638E-3</v>
      </c>
      <c r="I244">
        <v>7.4366124679503748E-4</v>
      </c>
      <c r="J244">
        <v>4.0585395882715307E-2</v>
      </c>
      <c r="K244">
        <v>2.2852664665958562</v>
      </c>
      <c r="L244">
        <v>-4.5066673796647478E-4</v>
      </c>
      <c r="M244">
        <v>5.6225191694589984E-3</v>
      </c>
      <c r="N244" t="s">
        <v>1091</v>
      </c>
      <c r="O244" s="1">
        <v>45412</v>
      </c>
      <c r="P244">
        <v>0.34977033553454462</v>
      </c>
      <c r="Q244">
        <v>1.748851677672723E-4</v>
      </c>
      <c r="R244">
        <v>-2.584425419689574E-2</v>
      </c>
      <c r="S244">
        <v>-2.6019139364663008E-2</v>
      </c>
      <c r="T244">
        <v>303</v>
      </c>
    </row>
    <row r="245" spans="1:20" x14ac:dyDescent="0.35">
      <c r="A245" s="1">
        <v>45412</v>
      </c>
      <c r="B245" t="s">
        <v>37</v>
      </c>
      <c r="C245" t="s">
        <v>1092</v>
      </c>
      <c r="D245">
        <v>6.0241796642475261E-3</v>
      </c>
      <c r="E245" t="s">
        <v>1011</v>
      </c>
      <c r="F245" t="s">
        <v>1093</v>
      </c>
      <c r="G245" t="s">
        <v>1094</v>
      </c>
      <c r="H245">
        <v>1.205741649581487E-2</v>
      </c>
      <c r="I245">
        <v>1.244672436573633E-3</v>
      </c>
      <c r="J245">
        <v>-5.9102124471593832E-2</v>
      </c>
      <c r="K245">
        <v>3.7506844051647499</v>
      </c>
      <c r="L245">
        <v>8.3233991860939723E-3</v>
      </c>
      <c r="M245">
        <v>2.2992195218464462E-3</v>
      </c>
      <c r="N245" t="s">
        <v>1095</v>
      </c>
      <c r="O245" s="1">
        <v>45443</v>
      </c>
      <c r="P245">
        <v>0.79995101289897885</v>
      </c>
      <c r="Q245">
        <v>3.9997550644948939E-4</v>
      </c>
      <c r="R245">
        <v>3.029149530368935E-2</v>
      </c>
      <c r="S245">
        <v>2.9891519797239859E-2</v>
      </c>
      <c r="T245">
        <v>304</v>
      </c>
    </row>
    <row r="246" spans="1:20" x14ac:dyDescent="0.35">
      <c r="A246" s="1">
        <v>45443</v>
      </c>
      <c r="B246" t="s">
        <v>37</v>
      </c>
      <c r="C246" t="s">
        <v>1096</v>
      </c>
      <c r="D246">
        <v>4.6778005316446431E-4</v>
      </c>
      <c r="E246" t="s">
        <v>1011</v>
      </c>
      <c r="F246" t="s">
        <v>1097</v>
      </c>
      <c r="G246" t="s">
        <v>1098</v>
      </c>
      <c r="H246">
        <v>6.3212363084707256E-3</v>
      </c>
      <c r="I246">
        <v>1.4295311335190549E-3</v>
      </c>
      <c r="J246">
        <v>-0.39203572403565867</v>
      </c>
      <c r="K246">
        <v>2.7666459412212778</v>
      </c>
      <c r="L246">
        <v>2.0326429079135602E-3</v>
      </c>
      <c r="M246">
        <v>1.5648628547490951E-3</v>
      </c>
      <c r="N246" t="s">
        <v>1099</v>
      </c>
      <c r="O246" s="1">
        <v>45473</v>
      </c>
      <c r="P246">
        <v>0.35835755999223218</v>
      </c>
      <c r="Q246">
        <v>1.7917877999611609E-4</v>
      </c>
      <c r="R246">
        <v>3.3118591110031383E-2</v>
      </c>
      <c r="S246">
        <v>3.2939412330035257E-2</v>
      </c>
      <c r="T246">
        <v>305</v>
      </c>
    </row>
    <row r="247" spans="1:20" x14ac:dyDescent="0.35">
      <c r="A247" s="1">
        <v>45473</v>
      </c>
      <c r="B247" t="s">
        <v>37</v>
      </c>
      <c r="C247" t="s">
        <v>1100</v>
      </c>
      <c r="D247">
        <v>3.8071728208380179E-3</v>
      </c>
      <c r="E247" t="s">
        <v>1011</v>
      </c>
      <c r="F247" t="s">
        <v>1101</v>
      </c>
      <c r="G247" t="s">
        <v>1102</v>
      </c>
      <c r="H247">
        <v>9.7186321849505198E-3</v>
      </c>
      <c r="I247">
        <v>1.2861251570661591E-3</v>
      </c>
      <c r="J247">
        <v>-0.31524361385577437</v>
      </c>
      <c r="K247">
        <v>3.6641854477942748</v>
      </c>
      <c r="L247">
        <v>5.8602567137520422E-3</v>
      </c>
      <c r="M247">
        <v>2.0530838929140238E-3</v>
      </c>
      <c r="N247" t="s">
        <v>1103</v>
      </c>
      <c r="O247" s="1">
        <v>45504</v>
      </c>
      <c r="P247">
        <v>0.3075927888132155</v>
      </c>
      <c r="Q247">
        <v>1.5379639440660781E-4</v>
      </c>
      <c r="R247">
        <v>9.5062607935812466E-3</v>
      </c>
      <c r="S247">
        <v>9.3524643991746391E-3</v>
      </c>
      <c r="T247">
        <v>306</v>
      </c>
    </row>
    <row r="248" spans="1:20" x14ac:dyDescent="0.35">
      <c r="A248" s="1">
        <v>45504</v>
      </c>
      <c r="B248" t="s">
        <v>37</v>
      </c>
      <c r="C248" t="s">
        <v>1104</v>
      </c>
      <c r="D248">
        <v>6.2504719617916798E-3</v>
      </c>
      <c r="E248" t="s">
        <v>1011</v>
      </c>
      <c r="F248" t="s">
        <v>1105</v>
      </c>
      <c r="G248" t="s">
        <v>1106</v>
      </c>
      <c r="H248">
        <v>1.18957595912273E-2</v>
      </c>
      <c r="I248">
        <v>1.255701367642738E-3</v>
      </c>
      <c r="J248">
        <v>-0.351802848279612</v>
      </c>
      <c r="K248">
        <v>3.844852496086494</v>
      </c>
      <c r="L248">
        <v>8.1286554882990907E-3</v>
      </c>
      <c r="M248">
        <v>1.8781835265074111E-3</v>
      </c>
      <c r="N248" t="s">
        <v>1107</v>
      </c>
      <c r="O248" s="1">
        <v>45535</v>
      </c>
      <c r="P248">
        <v>6.7480138377254417E-4</v>
      </c>
      <c r="Q248">
        <v>3.3740069188627208E-7</v>
      </c>
      <c r="R248">
        <v>9.699742440560313E-3</v>
      </c>
      <c r="S248">
        <v>9.6994050398684275E-3</v>
      </c>
      <c r="T248">
        <v>307</v>
      </c>
    </row>
    <row r="249" spans="1:20" x14ac:dyDescent="0.35">
      <c r="A249" s="1">
        <v>45535</v>
      </c>
      <c r="B249" t="s">
        <v>37</v>
      </c>
      <c r="C249" t="s">
        <v>1108</v>
      </c>
      <c r="D249">
        <v>9.1659465524854006E-4</v>
      </c>
      <c r="E249" t="s">
        <v>1068</v>
      </c>
      <c r="F249" t="s">
        <v>1109</v>
      </c>
      <c r="G249" t="s">
        <v>1110</v>
      </c>
      <c r="H249">
        <v>5.3550032698148229E-3</v>
      </c>
      <c r="I249">
        <v>8.2656013008231748E-4</v>
      </c>
      <c r="J249">
        <v>-0.37162447880280941</v>
      </c>
      <c r="K249">
        <v>2.57176179269063</v>
      </c>
      <c r="L249">
        <v>2.87532287956787E-3</v>
      </c>
      <c r="M249">
        <v>1.9587282243193299E-3</v>
      </c>
      <c r="N249" t="s">
        <v>1111</v>
      </c>
      <c r="O249" s="1">
        <v>45565</v>
      </c>
      <c r="P249">
        <v>0.50914563706495575</v>
      </c>
      <c r="Q249">
        <v>2.5457281853247791E-4</v>
      </c>
      <c r="R249">
        <v>2.0345942702685131E-2</v>
      </c>
      <c r="S249">
        <v>2.0091369884152652E-2</v>
      </c>
      <c r="T249">
        <v>308</v>
      </c>
    </row>
    <row r="250" spans="1:20" x14ac:dyDescent="0.35">
      <c r="A250" s="1">
        <v>45565</v>
      </c>
      <c r="B250" t="s">
        <v>37</v>
      </c>
      <c r="C250" t="s">
        <v>1112</v>
      </c>
      <c r="D250">
        <v>3.301706353248883E-3</v>
      </c>
      <c r="E250" t="s">
        <v>1011</v>
      </c>
      <c r="F250" t="s">
        <v>1113</v>
      </c>
      <c r="G250" t="s">
        <v>1114</v>
      </c>
      <c r="H250">
        <v>9.4235049859054624E-3</v>
      </c>
      <c r="I250">
        <v>1.459409940074218E-3</v>
      </c>
      <c r="J250">
        <v>-4.8162604608046673E-2</v>
      </c>
      <c r="K250">
        <v>3.816779311376389</v>
      </c>
      <c r="L250">
        <v>5.0452751656828096E-3</v>
      </c>
      <c r="M250">
        <v>1.743568812433927E-3</v>
      </c>
      <c r="N250" t="s">
        <v>1115</v>
      </c>
      <c r="O250" s="1">
        <v>45596</v>
      </c>
      <c r="P250">
        <v>0.56063419668376946</v>
      </c>
      <c r="Q250">
        <v>2.8031709834188469E-4</v>
      </c>
      <c r="R250">
        <v>-1.539085364745562E-2</v>
      </c>
      <c r="S250">
        <v>-1.5671170745797509E-2</v>
      </c>
      <c r="T250">
        <v>309</v>
      </c>
    </row>
    <row r="251" spans="1:20" x14ac:dyDescent="0.35">
      <c r="A251" s="1">
        <v>45596</v>
      </c>
      <c r="B251" t="s">
        <v>37</v>
      </c>
      <c r="C251" t="s">
        <v>1116</v>
      </c>
      <c r="D251">
        <v>7.5625388062093048E-6</v>
      </c>
      <c r="E251" t="s">
        <v>1068</v>
      </c>
      <c r="F251" t="s">
        <v>1117</v>
      </c>
      <c r="G251" t="s">
        <v>1118</v>
      </c>
      <c r="H251">
        <v>4.4140425488611969E-3</v>
      </c>
      <c r="I251">
        <v>7.8138777114460057E-4</v>
      </c>
      <c r="J251">
        <v>-0.25424189431406929</v>
      </c>
      <c r="K251">
        <v>2.502182732459286</v>
      </c>
      <c r="L251">
        <v>2.0698792354273952E-3</v>
      </c>
      <c r="M251">
        <v>2.0623166966211859E-3</v>
      </c>
      <c r="N251" t="s">
        <v>1119</v>
      </c>
      <c r="O251" s="1">
        <v>45626</v>
      </c>
      <c r="P251">
        <v>0.65682393661131899</v>
      </c>
      <c r="Q251">
        <v>3.2841196830565947E-4</v>
      </c>
      <c r="R251">
        <v>3.0000875464311221E-2</v>
      </c>
      <c r="S251">
        <v>2.9672463496005559E-2</v>
      </c>
      <c r="T251">
        <v>310</v>
      </c>
    </row>
    <row r="252" spans="1:20" x14ac:dyDescent="0.35">
      <c r="A252" s="1">
        <v>45626</v>
      </c>
      <c r="B252" t="s">
        <v>37</v>
      </c>
      <c r="C252" t="s">
        <v>1120</v>
      </c>
      <c r="D252">
        <v>-6.3974422836387927E-5</v>
      </c>
      <c r="E252" t="s">
        <v>115</v>
      </c>
      <c r="F252" t="s">
        <v>1121</v>
      </c>
      <c r="G252" t="s">
        <v>1122</v>
      </c>
      <c r="H252">
        <v>3.9546887500047801E-3</v>
      </c>
      <c r="I252">
        <v>7.0149512147333595E-4</v>
      </c>
      <c r="J252">
        <v>-0.33244605300347219</v>
      </c>
      <c r="K252">
        <v>2.6839389428379179</v>
      </c>
      <c r="L252">
        <v>1.8502033855847719E-3</v>
      </c>
      <c r="M252">
        <v>1.9141778084211601E-3</v>
      </c>
      <c r="N252" t="s">
        <v>1123</v>
      </c>
      <c r="O252" s="1">
        <v>45657</v>
      </c>
      <c r="P252">
        <v>0.30380402457933509</v>
      </c>
      <c r="Q252">
        <v>1.5190201228966761E-4</v>
      </c>
      <c r="R252">
        <v>-3.049340913034743E-2</v>
      </c>
      <c r="S252">
        <v>-3.0645311142637102E-2</v>
      </c>
      <c r="T252">
        <v>311</v>
      </c>
    </row>
    <row r="253" spans="1:20" x14ac:dyDescent="0.35">
      <c r="A253" s="1">
        <v>45657</v>
      </c>
      <c r="B253" t="s">
        <v>37</v>
      </c>
      <c r="C253" t="s">
        <v>1124</v>
      </c>
      <c r="D253">
        <v>7.2905240586031584E-3</v>
      </c>
      <c r="E253" t="s">
        <v>1011</v>
      </c>
      <c r="F253" t="s">
        <v>1125</v>
      </c>
      <c r="G253" t="s">
        <v>1126</v>
      </c>
      <c r="H253">
        <v>1.2759812046089331E-2</v>
      </c>
      <c r="I253">
        <v>1.28307002640825E-3</v>
      </c>
      <c r="J253">
        <v>-0.29754286968691662</v>
      </c>
      <c r="K253">
        <v>3.5511561184870022</v>
      </c>
      <c r="L253">
        <v>8.9106019668645751E-3</v>
      </c>
      <c r="M253">
        <v>1.620077908261417E-3</v>
      </c>
      <c r="N253" t="s">
        <v>1127</v>
      </c>
      <c r="O253" s="1">
        <v>45688</v>
      </c>
      <c r="P253">
        <v>0.60328128291109895</v>
      </c>
      <c r="Q253">
        <v>3.0164064145554948E-4</v>
      </c>
      <c r="R253">
        <v>9.7869819504417619E-3</v>
      </c>
      <c r="S253">
        <v>9.4853413089862129E-3</v>
      </c>
      <c r="T253">
        <v>312</v>
      </c>
    </row>
    <row r="254" spans="1:20" x14ac:dyDescent="0.35">
      <c r="A254" s="1">
        <v>45688</v>
      </c>
      <c r="B254" t="s">
        <v>37</v>
      </c>
      <c r="C254" t="s">
        <v>1128</v>
      </c>
      <c r="D254">
        <v>3.6273354132595761E-3</v>
      </c>
      <c r="E254" t="s">
        <v>760</v>
      </c>
      <c r="F254" t="s">
        <v>761</v>
      </c>
      <c r="G254" t="s">
        <v>16</v>
      </c>
      <c r="H254">
        <v>7.2908290790199264E-3</v>
      </c>
      <c r="I254">
        <v>1.22116455525345E-3</v>
      </c>
      <c r="J254">
        <v>-0.50559709279980258</v>
      </c>
      <c r="K254">
        <v>2.767339039218633</v>
      </c>
      <c r="L254">
        <v>3.6273354132595761E-3</v>
      </c>
      <c r="M254">
        <v>0</v>
      </c>
      <c r="N254" t="s">
        <v>1129</v>
      </c>
      <c r="O254" s="1">
        <v>45716</v>
      </c>
      <c r="P254">
        <v>0.8</v>
      </c>
      <c r="Q254">
        <v>4.0000000000000002E-4</v>
      </c>
      <c r="R254">
        <v>3.214469624358336E-3</v>
      </c>
      <c r="S254">
        <v>2.8144696243583359E-3</v>
      </c>
      <c r="T254">
        <v>313</v>
      </c>
    </row>
    <row r="255" spans="1:20" x14ac:dyDescent="0.35">
      <c r="A255" s="1">
        <v>45716</v>
      </c>
      <c r="B255" t="s">
        <v>37</v>
      </c>
      <c r="C255" t="s">
        <v>1130</v>
      </c>
      <c r="D255">
        <v>7.7179326091155196E-3</v>
      </c>
      <c r="E255" t="s">
        <v>1011</v>
      </c>
      <c r="F255" t="s">
        <v>1131</v>
      </c>
      <c r="G255" t="s">
        <v>1132</v>
      </c>
      <c r="H255">
        <v>1.376310860070404E-2</v>
      </c>
      <c r="I255">
        <v>1.586862629023896E-3</v>
      </c>
      <c r="J255">
        <v>-0.3016156925416883</v>
      </c>
      <c r="K255">
        <v>3.4425572140121359</v>
      </c>
      <c r="L255">
        <v>9.0025207136323546E-3</v>
      </c>
      <c r="M255">
        <v>1.2845881045168339E-3</v>
      </c>
      <c r="N255" t="s">
        <v>1133</v>
      </c>
      <c r="O255" s="1">
        <v>45747</v>
      </c>
      <c r="P255">
        <v>0.70149032816735857</v>
      </c>
      <c r="Q255">
        <v>3.5074516408367928E-4</v>
      </c>
      <c r="R255">
        <v>-2.703157964743598E-2</v>
      </c>
      <c r="S255">
        <v>-2.738232481151966E-2</v>
      </c>
      <c r="T255">
        <v>314</v>
      </c>
    </row>
    <row r="256" spans="1:20" x14ac:dyDescent="0.35">
      <c r="A256" s="1">
        <v>45747</v>
      </c>
      <c r="B256" t="s">
        <v>37</v>
      </c>
      <c r="C256" t="s">
        <v>1134</v>
      </c>
      <c r="D256">
        <v>-2.3155260351440539E-3</v>
      </c>
      <c r="E256" t="s">
        <v>115</v>
      </c>
      <c r="F256" t="s">
        <v>1135</v>
      </c>
      <c r="G256" t="s">
        <v>1136</v>
      </c>
      <c r="H256">
        <v>3.1804350266666781E-3</v>
      </c>
      <c r="I256">
        <v>7.0227142437493534E-4</v>
      </c>
      <c r="J256">
        <v>-0.27345434206748032</v>
      </c>
      <c r="K256">
        <v>2.5885378495351281</v>
      </c>
      <c r="L256">
        <v>1.0736207535418721E-3</v>
      </c>
      <c r="M256">
        <v>3.389146788685926E-3</v>
      </c>
      <c r="N256" t="s">
        <v>1137</v>
      </c>
      <c r="O256" s="1">
        <v>45777</v>
      </c>
      <c r="P256">
        <v>0.67543182210667063</v>
      </c>
      <c r="Q256">
        <v>3.377159110533353E-4</v>
      </c>
      <c r="R256">
        <v>1.3439652557831781E-2</v>
      </c>
      <c r="S256">
        <v>1.310193664677845E-2</v>
      </c>
      <c r="T256">
        <v>315</v>
      </c>
    </row>
    <row r="257" spans="1:20" x14ac:dyDescent="0.35">
      <c r="A257" s="1">
        <v>45777</v>
      </c>
      <c r="B257" t="s">
        <v>37</v>
      </c>
      <c r="C257" t="s">
        <v>1138</v>
      </c>
      <c r="D257">
        <v>1.135485846242424E-2</v>
      </c>
      <c r="E257" t="s">
        <v>1139</v>
      </c>
      <c r="F257" t="s">
        <v>1140</v>
      </c>
      <c r="G257" t="s">
        <v>1141</v>
      </c>
      <c r="H257">
        <v>1.559836617564885E-2</v>
      </c>
      <c r="I257">
        <v>9.0366810647477935E-4</v>
      </c>
      <c r="J257">
        <v>-0.99193329866360658</v>
      </c>
      <c r="K257">
        <v>4.0181751751826393</v>
      </c>
      <c r="L257">
        <v>1.288736185622451E-2</v>
      </c>
      <c r="M257">
        <v>1.5325033938002751E-3</v>
      </c>
      <c r="N257" t="s">
        <v>1142</v>
      </c>
      <c r="O257" s="1">
        <v>45808</v>
      </c>
      <c r="P257">
        <v>0.77219183443676109</v>
      </c>
      <c r="Q257">
        <v>3.8609591721838049E-4</v>
      </c>
      <c r="R257">
        <v>2.0640470215432749E-2</v>
      </c>
      <c r="S257">
        <v>2.0254374298214368E-2</v>
      </c>
      <c r="T257">
        <v>316</v>
      </c>
    </row>
    <row r="258" spans="1:20" x14ac:dyDescent="0.35">
      <c r="A258" s="1">
        <v>45808</v>
      </c>
      <c r="B258" t="s">
        <v>37</v>
      </c>
      <c r="C258" t="s">
        <v>1143</v>
      </c>
      <c r="D258">
        <v>5.9393533400478773E-5</v>
      </c>
      <c r="E258" t="s">
        <v>115</v>
      </c>
      <c r="F258" t="s">
        <v>1144</v>
      </c>
      <c r="G258" t="s">
        <v>1145</v>
      </c>
      <c r="H258">
        <v>4.3757704201627806E-3</v>
      </c>
      <c r="I258">
        <v>6.9178793953396964E-4</v>
      </c>
      <c r="J258">
        <v>-0.30487793946069891</v>
      </c>
      <c r="K258">
        <v>2.1013335061970069</v>
      </c>
      <c r="L258">
        <v>2.3004066015608719E-3</v>
      </c>
      <c r="M258">
        <v>2.2410130681603932E-3</v>
      </c>
      <c r="N258" t="s">
        <v>1146</v>
      </c>
      <c r="O258" s="1">
        <v>45838</v>
      </c>
      <c r="P258">
        <v>0.69881366409388412</v>
      </c>
      <c r="Q258">
        <v>3.4940683204694211E-4</v>
      </c>
      <c r="R258">
        <v>3.6470472367748072E-2</v>
      </c>
      <c r="S258">
        <v>3.612106553570113E-2</v>
      </c>
      <c r="T258">
        <v>317</v>
      </c>
    </row>
    <row r="259" spans="1:20" x14ac:dyDescent="0.35">
      <c r="A259" s="1">
        <v>45838</v>
      </c>
      <c r="B259" t="s">
        <v>37</v>
      </c>
      <c r="C259" t="s">
        <v>1147</v>
      </c>
      <c r="D259">
        <v>-2.6932227918069511E-3</v>
      </c>
      <c r="E259" t="s">
        <v>81</v>
      </c>
      <c r="F259" t="s">
        <v>1148</v>
      </c>
      <c r="G259" t="s">
        <v>1149</v>
      </c>
      <c r="H259">
        <v>4.6277226712470223E-3</v>
      </c>
      <c r="I259">
        <v>7.4868375690123026E-4</v>
      </c>
      <c r="J259">
        <v>-0.18839130203752261</v>
      </c>
      <c r="K259">
        <v>2.1534759289573988</v>
      </c>
      <c r="L259">
        <v>2.3816714005433308E-3</v>
      </c>
      <c r="M259">
        <v>5.0748941923502806E-3</v>
      </c>
      <c r="N259" t="s">
        <v>1150</v>
      </c>
      <c r="O259" s="1">
        <v>45869</v>
      </c>
      <c r="P259">
        <v>0.22255715413567409</v>
      </c>
      <c r="Q259">
        <v>1.1127857706783711E-4</v>
      </c>
      <c r="R259">
        <v>8.0257310973602218E-3</v>
      </c>
      <c r="S259">
        <v>7.9144525202923845E-3</v>
      </c>
      <c r="T259">
        <v>318</v>
      </c>
    </row>
    <row r="260" spans="1:20" x14ac:dyDescent="0.35">
      <c r="A260" s="1">
        <v>45869</v>
      </c>
      <c r="B260" t="s">
        <v>37</v>
      </c>
      <c r="C260" t="s">
        <v>1151</v>
      </c>
      <c r="D260">
        <v>6.0019145700486174E-3</v>
      </c>
      <c r="E260" t="s">
        <v>1152</v>
      </c>
      <c r="F260" t="s">
        <v>1153</v>
      </c>
      <c r="G260" t="s">
        <v>1154</v>
      </c>
      <c r="H260">
        <v>1.003988960600837E-2</v>
      </c>
      <c r="I260">
        <v>9.3399668171384692E-4</v>
      </c>
      <c r="J260">
        <v>-0.42537957622213352</v>
      </c>
      <c r="K260">
        <v>3.1602993684804388</v>
      </c>
      <c r="L260">
        <v>7.2378995608668329E-3</v>
      </c>
      <c r="M260">
        <v>1.235984990818216E-3</v>
      </c>
      <c r="N260" t="s">
        <v>1155</v>
      </c>
      <c r="O260" s="1">
        <v>45900</v>
      </c>
      <c r="P260">
        <v>0.75095592984133752</v>
      </c>
      <c r="Q260">
        <v>3.7547796492066879E-4</v>
      </c>
      <c r="R260">
        <v>1.228520447126661E-2</v>
      </c>
      <c r="S260">
        <v>1.190972650634594E-2</v>
      </c>
      <c r="T260">
        <v>319</v>
      </c>
    </row>
    <row r="261" spans="1:20" x14ac:dyDescent="0.35">
      <c r="A261" s="1">
        <v>45900</v>
      </c>
      <c r="B261" t="s">
        <v>37</v>
      </c>
      <c r="C261" t="s">
        <v>1156</v>
      </c>
      <c r="D261">
        <v>5.7624807957685556E-3</v>
      </c>
      <c r="E261" t="s">
        <v>1152</v>
      </c>
      <c r="F261" t="s">
        <v>1157</v>
      </c>
      <c r="G261" t="s">
        <v>1158</v>
      </c>
      <c r="H261">
        <v>9.6284347549199806E-3</v>
      </c>
      <c r="I261">
        <v>9.349649829265013E-4</v>
      </c>
      <c r="J261">
        <v>-0.46682805026514701</v>
      </c>
      <c r="K261">
        <v>3.1734834567883432</v>
      </c>
      <c r="L261">
        <v>6.8235398061404773E-3</v>
      </c>
      <c r="M261">
        <v>1.0610590103719219E-3</v>
      </c>
      <c r="N261" t="s">
        <v>1159</v>
      </c>
      <c r="O261" s="1">
        <v>45930</v>
      </c>
      <c r="P261">
        <v>6.9552638197818498E-3</v>
      </c>
      <c r="Q261">
        <v>3.4776319098909249E-6</v>
      </c>
      <c r="R261">
        <v>3.5156553553517413E-2</v>
      </c>
      <c r="S261">
        <v>3.5153075921607511E-2</v>
      </c>
      <c r="T261">
        <v>320</v>
      </c>
    </row>
    <row r="262" spans="1:20" x14ac:dyDescent="0.35">
      <c r="A262" s="1">
        <v>45930</v>
      </c>
      <c r="B262" t="s">
        <v>37</v>
      </c>
      <c r="C262" t="s">
        <v>1160</v>
      </c>
      <c r="D262">
        <v>-1.0789837977755921E-3</v>
      </c>
      <c r="E262" t="s">
        <v>115</v>
      </c>
      <c r="F262" t="s">
        <v>1161</v>
      </c>
      <c r="G262" t="s">
        <v>1162</v>
      </c>
      <c r="H262">
        <v>4.6155535866215193E-3</v>
      </c>
      <c r="I262">
        <v>6.1336525168885459E-4</v>
      </c>
      <c r="J262">
        <v>-0.50049063068751476</v>
      </c>
      <c r="K262">
        <v>2.6686822871051952</v>
      </c>
      <c r="L262">
        <v>2.7754578315549549E-3</v>
      </c>
      <c r="M262">
        <v>3.8544416293305479E-3</v>
      </c>
      <c r="N262" t="s">
        <v>1163</v>
      </c>
      <c r="O262" s="1">
        <v>45961</v>
      </c>
      <c r="P262">
        <v>0.74400066602155557</v>
      </c>
      <c r="Q262">
        <v>3.720003330107778E-4</v>
      </c>
      <c r="R262">
        <v>1.531856252955727E-2</v>
      </c>
      <c r="S262">
        <v>1.4946562196546489E-2</v>
      </c>
      <c r="T262">
        <v>321</v>
      </c>
    </row>
    <row r="263" spans="1:20" x14ac:dyDescent="0.35">
      <c r="A263" s="1">
        <v>45961</v>
      </c>
      <c r="B263" t="s">
        <v>37</v>
      </c>
      <c r="C263" t="s">
        <v>1164</v>
      </c>
      <c r="D263">
        <v>9.4459753395460533E-3</v>
      </c>
      <c r="E263" t="s">
        <v>1011</v>
      </c>
      <c r="F263" t="s">
        <v>1165</v>
      </c>
      <c r="G263" t="s">
        <v>1166</v>
      </c>
      <c r="H263">
        <v>1.5939189223545421E-2</v>
      </c>
      <c r="I263">
        <v>1.083874068810172E-3</v>
      </c>
      <c r="J263">
        <v>-4.0919687112922952E-2</v>
      </c>
      <c r="K263">
        <v>4.27928580942012</v>
      </c>
      <c r="L263">
        <v>1.268756701711491E-2</v>
      </c>
      <c r="M263">
        <v>3.241591677568852E-3</v>
      </c>
      <c r="N263" t="s">
        <v>1167</v>
      </c>
      <c r="O263" s="1">
        <v>45991</v>
      </c>
      <c r="P263">
        <v>0.59334902193786554</v>
      </c>
      <c r="Q263">
        <v>2.9667451096893277E-4</v>
      </c>
      <c r="R263">
        <v>7.274359668667134E-3</v>
      </c>
      <c r="S263">
        <v>6.9776851576982008E-3</v>
      </c>
      <c r="T263">
        <v>322</v>
      </c>
    </row>
    <row r="264" spans="1:20" x14ac:dyDescent="0.35">
      <c r="A264" s="1">
        <v>45991</v>
      </c>
      <c r="B264" t="s">
        <v>37</v>
      </c>
      <c r="C264" t="s">
        <v>1168</v>
      </c>
      <c r="D264">
        <v>-1.8562306256609221E-3</v>
      </c>
      <c r="E264" t="s">
        <v>115</v>
      </c>
      <c r="F264" t="s">
        <v>1169</v>
      </c>
      <c r="G264" t="s">
        <v>1170</v>
      </c>
      <c r="H264">
        <v>4.4007269509101343E-3</v>
      </c>
      <c r="I264">
        <v>6.4324246913044904E-4</v>
      </c>
      <c r="J264">
        <v>-0.35439032569858647</v>
      </c>
      <c r="K264">
        <v>2.5055313098962868</v>
      </c>
      <c r="L264">
        <v>2.470999543518787E-3</v>
      </c>
      <c r="M264">
        <v>4.3272301691797089E-3</v>
      </c>
      <c r="N264" t="s">
        <v>1171</v>
      </c>
      <c r="O264" s="1">
        <v>46022</v>
      </c>
      <c r="P264">
        <v>0.72237755271363024</v>
      </c>
      <c r="Q264">
        <v>3.6118877635681512E-4</v>
      </c>
      <c r="R264">
        <v>3.5451031188149808E-3</v>
      </c>
      <c r="S264">
        <v>3.1839143424581659E-3</v>
      </c>
      <c r="T264">
        <v>323</v>
      </c>
    </row>
    <row r="265" spans="1:20" x14ac:dyDescent="0.35">
      <c r="A265" s="1">
        <v>46022</v>
      </c>
      <c r="B265" t="s">
        <v>37</v>
      </c>
      <c r="C265" t="s">
        <v>1172</v>
      </c>
      <c r="D265">
        <v>2.3776986074224799E-4</v>
      </c>
      <c r="E265" t="s">
        <v>81</v>
      </c>
      <c r="F265" t="s">
        <v>1173</v>
      </c>
      <c r="G265" t="s">
        <v>1174</v>
      </c>
      <c r="H265">
        <v>6.204474515349734E-3</v>
      </c>
      <c r="I265">
        <v>6.8271381314499605E-4</v>
      </c>
      <c r="J265">
        <v>-0.29792670831207041</v>
      </c>
      <c r="K265">
        <v>2.4017398694741212</v>
      </c>
      <c r="L265">
        <v>4.1563330759147457E-3</v>
      </c>
      <c r="M265">
        <v>3.9185632151724978E-3</v>
      </c>
      <c r="N265" t="s">
        <v>1175</v>
      </c>
      <c r="O265" s="1">
        <v>46053</v>
      </c>
      <c r="P265">
        <v>0.46360873303899541</v>
      </c>
      <c r="Q265">
        <v>2.318043665194977E-4</v>
      </c>
      <c r="R265">
        <v>1.6010697711758962E-2</v>
      </c>
      <c r="S265">
        <v>1.5778893345239461E-2</v>
      </c>
      <c r="T265">
        <v>324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265"/>
  <sheetViews>
    <sheetView workbookViewId="0">
      <selection activeCell="T2" sqref="T2"/>
    </sheetView>
  </sheetViews>
  <sheetFormatPr defaultRowHeight="14.5" x14ac:dyDescent="0.35"/>
  <sheetData>
    <row r="1" spans="1:24" x14ac:dyDescent="0.35">
      <c r="B1" t="s">
        <v>34</v>
      </c>
      <c r="C1" t="s">
        <v>1176</v>
      </c>
      <c r="D1" t="s">
        <v>46</v>
      </c>
      <c r="E1" t="s">
        <v>56</v>
      </c>
      <c r="F1" t="s">
        <v>59</v>
      </c>
      <c r="G1" t="s">
        <v>62</v>
      </c>
      <c r="H1" t="s">
        <v>65</v>
      </c>
      <c r="I1" t="s">
        <v>68</v>
      </c>
      <c r="J1" t="s">
        <v>71</v>
      </c>
      <c r="K1" t="s">
        <v>75</v>
      </c>
      <c r="L1" t="s">
        <v>78</v>
      </c>
      <c r="M1" t="s">
        <v>81</v>
      </c>
    </row>
    <row r="2" spans="1:24" x14ac:dyDescent="0.35">
      <c r="A2" s="1">
        <v>38046</v>
      </c>
      <c r="B2">
        <v>0.36250057028963861</v>
      </c>
      <c r="C2">
        <v>0.4</v>
      </c>
      <c r="D2">
        <v>0</v>
      </c>
      <c r="E2">
        <v>0.21874857427590361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1.8750855434457859E-2</v>
      </c>
      <c r="P2">
        <f>COUNTIF(D2:D265,"&lt;&gt;0")</f>
        <v>15</v>
      </c>
      <c r="Q2">
        <f t="shared" ref="Q2:X2" si="0">COUNTIF(E2:E265,"&lt;&gt;0")</f>
        <v>85</v>
      </c>
      <c r="R2">
        <f t="shared" si="0"/>
        <v>11</v>
      </c>
      <c r="S2">
        <f t="shared" si="0"/>
        <v>9</v>
      </c>
      <c r="T2">
        <f t="shared" si="0"/>
        <v>83</v>
      </c>
      <c r="U2">
        <f t="shared" si="0"/>
        <v>38</v>
      </c>
      <c r="V2">
        <f t="shared" si="0"/>
        <v>6</v>
      </c>
      <c r="W2">
        <f t="shared" si="0"/>
        <v>10</v>
      </c>
      <c r="X2">
        <f t="shared" si="0"/>
        <v>24</v>
      </c>
    </row>
    <row r="3" spans="1:24" x14ac:dyDescent="0.35">
      <c r="A3" s="1">
        <v>38077</v>
      </c>
      <c r="B3">
        <v>0.43752293772813478</v>
      </c>
      <c r="C3">
        <v>0.4</v>
      </c>
      <c r="D3">
        <v>0</v>
      </c>
      <c r="E3">
        <v>0.13128440659220231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3.1192655679662909E-2</v>
      </c>
    </row>
    <row r="4" spans="1:24" x14ac:dyDescent="0.35">
      <c r="A4" s="1">
        <v>38107</v>
      </c>
      <c r="B4">
        <v>0.46615348888705299</v>
      </c>
      <c r="C4">
        <v>0.4</v>
      </c>
      <c r="D4">
        <v>3.6025581481175503E-2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9.7820929631771497E-2</v>
      </c>
    </row>
    <row r="5" spans="1:24" x14ac:dyDescent="0.35">
      <c r="A5" s="1">
        <v>38138</v>
      </c>
      <c r="B5">
        <v>0.53751138418954758</v>
      </c>
      <c r="C5">
        <v>0.4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6.2488615810452411E-2</v>
      </c>
    </row>
    <row r="6" spans="1:24" x14ac:dyDescent="0.35">
      <c r="A6" s="1">
        <v>38168</v>
      </c>
      <c r="B6">
        <v>0.40660058336493748</v>
      </c>
      <c r="C6">
        <v>0.4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0.19339941663506241</v>
      </c>
    </row>
    <row r="7" spans="1:24" x14ac:dyDescent="0.35">
      <c r="A7" s="1">
        <v>38199</v>
      </c>
      <c r="B7">
        <v>0.37381504105140062</v>
      </c>
      <c r="C7">
        <v>0.4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0.22618495894859941</v>
      </c>
    </row>
    <row r="8" spans="1:24" x14ac:dyDescent="0.35">
      <c r="A8" s="1">
        <v>38230</v>
      </c>
      <c r="B8">
        <v>0.2265470054727764</v>
      </c>
      <c r="C8">
        <v>0.4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0.37345299452722358</v>
      </c>
    </row>
    <row r="9" spans="1:24" x14ac:dyDescent="0.35">
      <c r="A9" s="1">
        <v>38260</v>
      </c>
      <c r="B9">
        <v>0.22131816886691419</v>
      </c>
      <c r="C9">
        <v>0.4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0.37868183113308568</v>
      </c>
    </row>
    <row r="10" spans="1:24" x14ac:dyDescent="0.35">
      <c r="A10" s="1">
        <v>38291</v>
      </c>
      <c r="B10">
        <v>0.31048458940748852</v>
      </c>
      <c r="C10">
        <v>0.4</v>
      </c>
      <c r="D10">
        <v>0</v>
      </c>
      <c r="E10">
        <v>5.2422947037442224E-3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0.2842731158887673</v>
      </c>
    </row>
    <row r="11" spans="1:24" x14ac:dyDescent="0.35">
      <c r="A11" s="1">
        <v>38321</v>
      </c>
      <c r="B11">
        <v>0.2698879286264122</v>
      </c>
      <c r="C11">
        <v>0.4</v>
      </c>
      <c r="D11">
        <v>0</v>
      </c>
      <c r="E11">
        <v>3.3146547710686978E-3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0.3267974166025191</v>
      </c>
    </row>
    <row r="12" spans="1:24" x14ac:dyDescent="0.35">
      <c r="A12" s="1">
        <v>38352</v>
      </c>
      <c r="B12">
        <v>0.38721346815400198</v>
      </c>
      <c r="C12">
        <v>0.4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0.21278653184599799</v>
      </c>
    </row>
    <row r="13" spans="1:24" x14ac:dyDescent="0.35">
      <c r="A13" s="1">
        <v>38383</v>
      </c>
      <c r="B13">
        <v>0.26856964513354048</v>
      </c>
      <c r="C13">
        <v>0.4</v>
      </c>
      <c r="D13">
        <v>0</v>
      </c>
      <c r="E13">
        <v>3.094940855590078E-3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0.32833541401086941</v>
      </c>
    </row>
    <row r="14" spans="1:24" x14ac:dyDescent="0.35">
      <c r="A14" s="1">
        <v>38411</v>
      </c>
      <c r="B14">
        <v>0.41677155853292769</v>
      </c>
      <c r="C14">
        <v>0.4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0.18322844146707229</v>
      </c>
    </row>
    <row r="15" spans="1:24" x14ac:dyDescent="0.35">
      <c r="A15" s="1">
        <v>38442</v>
      </c>
      <c r="B15">
        <v>0.34364581967642821</v>
      </c>
      <c r="C15">
        <v>0.4</v>
      </c>
      <c r="D15">
        <v>0</v>
      </c>
      <c r="E15">
        <v>0.2345312704853578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2.1822909838214079E-2</v>
      </c>
    </row>
    <row r="16" spans="1:24" x14ac:dyDescent="0.35">
      <c r="A16" s="1">
        <v>38472</v>
      </c>
      <c r="B16">
        <v>0.36092525690724109</v>
      </c>
      <c r="C16">
        <v>0.4</v>
      </c>
      <c r="D16">
        <v>0</v>
      </c>
      <c r="E16">
        <v>1.6387885360861731E-2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0.22268685773189709</v>
      </c>
    </row>
    <row r="17" spans="1:13" x14ac:dyDescent="0.35">
      <c r="A17" s="1">
        <v>38503</v>
      </c>
      <c r="B17">
        <v>0.31278439212110798</v>
      </c>
      <c r="C17">
        <v>0.4</v>
      </c>
      <c r="D17">
        <v>0</v>
      </c>
      <c r="E17">
        <v>6.3921960605540229E-3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0.28082341181833792</v>
      </c>
    </row>
    <row r="18" spans="1:13" x14ac:dyDescent="0.35">
      <c r="A18" s="1">
        <v>38533</v>
      </c>
      <c r="B18">
        <v>0.22750859070230561</v>
      </c>
      <c r="C18">
        <v>0.4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0.37249140929769442</v>
      </c>
    </row>
    <row r="19" spans="1:13" x14ac:dyDescent="0.35">
      <c r="A19" s="1">
        <v>38564</v>
      </c>
      <c r="B19">
        <v>0.4497758981281374</v>
      </c>
      <c r="C19">
        <v>0.4</v>
      </c>
      <c r="D19">
        <v>7.4887949064068718E-2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7.5336152807793849E-2</v>
      </c>
    </row>
    <row r="20" spans="1:13" x14ac:dyDescent="0.35">
      <c r="A20" s="1">
        <v>38595</v>
      </c>
      <c r="B20">
        <v>0.35484720501993372</v>
      </c>
      <c r="C20">
        <v>0.4</v>
      </c>
      <c r="D20">
        <v>0</v>
      </c>
      <c r="E20">
        <v>7.2708075299005798E-3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0.2378819874501657</v>
      </c>
    </row>
    <row r="21" spans="1:13" x14ac:dyDescent="0.35">
      <c r="A21" s="1">
        <v>38625</v>
      </c>
      <c r="B21">
        <v>0.4</v>
      </c>
      <c r="C21">
        <v>0.4</v>
      </c>
      <c r="D21">
        <v>0</v>
      </c>
      <c r="E21">
        <v>1.0443424478118499E-2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0.18955657552188149</v>
      </c>
    </row>
    <row r="22" spans="1:13" x14ac:dyDescent="0.35">
      <c r="A22" s="1">
        <v>38656</v>
      </c>
      <c r="B22">
        <v>0.35522703389307658</v>
      </c>
      <c r="C22">
        <v>0.4</v>
      </c>
      <c r="D22">
        <v>0</v>
      </c>
      <c r="E22">
        <v>7.840550839614973E-3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0.2369324152673084</v>
      </c>
    </row>
    <row r="23" spans="1:13" x14ac:dyDescent="0.35">
      <c r="A23" s="1">
        <v>38686</v>
      </c>
      <c r="B23">
        <v>0.4</v>
      </c>
      <c r="C23">
        <v>0.4</v>
      </c>
      <c r="D23">
        <v>0</v>
      </c>
      <c r="E23">
        <v>0.19483159711888509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5.1684028811148797E-3</v>
      </c>
    </row>
    <row r="24" spans="1:13" x14ac:dyDescent="0.35">
      <c r="A24" s="1">
        <v>38717</v>
      </c>
      <c r="B24">
        <v>0.22732004478549361</v>
      </c>
      <c r="C24">
        <v>0.4</v>
      </c>
      <c r="D24">
        <v>0</v>
      </c>
      <c r="E24">
        <v>0.37267995521450642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 x14ac:dyDescent="0.35">
      <c r="A25" s="1">
        <v>38748</v>
      </c>
      <c r="B25">
        <v>0.23247206612802951</v>
      </c>
      <c r="C25">
        <v>0.4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0.36752793387197052</v>
      </c>
    </row>
    <row r="26" spans="1:13" x14ac:dyDescent="0.35">
      <c r="A26" s="1">
        <v>38776</v>
      </c>
      <c r="B26">
        <v>0.30410998933339239</v>
      </c>
      <c r="C26">
        <v>0.4</v>
      </c>
      <c r="D26">
        <v>0</v>
      </c>
      <c r="E26">
        <v>0.29383501599991141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2.054994666696207E-3</v>
      </c>
    </row>
    <row r="27" spans="1:13" x14ac:dyDescent="0.35">
      <c r="A27" s="1">
        <v>38807</v>
      </c>
      <c r="B27">
        <v>0.30917809445709921</v>
      </c>
      <c r="C27">
        <v>0.4</v>
      </c>
      <c r="D27">
        <v>0</v>
      </c>
      <c r="E27">
        <v>0.28623285831435119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4.5890472285495939E-3</v>
      </c>
    </row>
    <row r="28" spans="1:13" x14ac:dyDescent="0.35">
      <c r="A28" s="1">
        <v>38837</v>
      </c>
      <c r="B28">
        <v>0.30872503895635989</v>
      </c>
      <c r="C28">
        <v>0.4</v>
      </c>
      <c r="D28">
        <v>0</v>
      </c>
      <c r="E28">
        <v>0.28691244156545997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4.3625194781799978E-3</v>
      </c>
    </row>
    <row r="29" spans="1:13" x14ac:dyDescent="0.35">
      <c r="A29" s="1">
        <v>38868</v>
      </c>
      <c r="B29">
        <v>0.2075260067588186</v>
      </c>
      <c r="C29">
        <v>0.4</v>
      </c>
      <c r="D29">
        <v>0.14717774746544299</v>
      </c>
      <c r="E29">
        <v>0.24529624577573839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</row>
    <row r="30" spans="1:13" x14ac:dyDescent="0.35">
      <c r="A30" s="1">
        <v>38898</v>
      </c>
      <c r="B30">
        <v>0.20000049172345799</v>
      </c>
      <c r="C30">
        <v>0.4</v>
      </c>
      <c r="D30">
        <v>0</v>
      </c>
      <c r="E30">
        <v>0.39999950827654202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</row>
    <row r="31" spans="1:13" x14ac:dyDescent="0.35">
      <c r="A31" s="1">
        <v>38929</v>
      </c>
      <c r="B31">
        <v>0.20000019995328641</v>
      </c>
      <c r="C31">
        <v>0.4</v>
      </c>
      <c r="D31">
        <v>0</v>
      </c>
      <c r="E31">
        <v>0.39999980004671359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</row>
    <row r="32" spans="1:13" x14ac:dyDescent="0.35">
      <c r="A32" s="1">
        <v>38960</v>
      </c>
      <c r="B32">
        <v>0.30721138807419862</v>
      </c>
      <c r="C32">
        <v>0.4</v>
      </c>
      <c r="D32">
        <v>0</v>
      </c>
      <c r="E32">
        <v>0.28918291788870198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3.605694037099311E-3</v>
      </c>
    </row>
    <row r="33" spans="1:13" x14ac:dyDescent="0.35">
      <c r="A33" s="1">
        <v>38990</v>
      </c>
      <c r="B33">
        <v>0.27618314410113293</v>
      </c>
      <c r="C33">
        <v>0.4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0.32381685589886711</v>
      </c>
    </row>
    <row r="34" spans="1:13" x14ac:dyDescent="0.35">
      <c r="A34" s="1">
        <v>39021</v>
      </c>
      <c r="B34">
        <v>0.4</v>
      </c>
      <c r="C34">
        <v>0.4</v>
      </c>
      <c r="D34">
        <v>0</v>
      </c>
      <c r="E34">
        <v>8.6435323710463211E-2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0.1135646762895368</v>
      </c>
    </row>
    <row r="35" spans="1:13" x14ac:dyDescent="0.35">
      <c r="A35" s="1">
        <v>39051</v>
      </c>
      <c r="B35">
        <v>0.2000000839470345</v>
      </c>
      <c r="C35">
        <v>0.4</v>
      </c>
      <c r="D35">
        <v>0</v>
      </c>
      <c r="E35">
        <v>0.39999991605296548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</row>
    <row r="36" spans="1:13" x14ac:dyDescent="0.35">
      <c r="A36" s="1">
        <v>39082</v>
      </c>
      <c r="B36">
        <v>0.3596232048808341</v>
      </c>
      <c r="C36">
        <v>0.4</v>
      </c>
      <c r="D36">
        <v>0</v>
      </c>
      <c r="E36">
        <v>1.443480732125123E-2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0.22594198779791461</v>
      </c>
    </row>
    <row r="37" spans="1:13" x14ac:dyDescent="0.35">
      <c r="A37" s="1">
        <v>39113</v>
      </c>
      <c r="B37">
        <v>0.2000000000000085</v>
      </c>
      <c r="C37">
        <v>0.4</v>
      </c>
      <c r="D37">
        <v>0</v>
      </c>
      <c r="E37">
        <v>0.39999999999999147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</row>
    <row r="38" spans="1:13" x14ac:dyDescent="0.35">
      <c r="A38" s="1">
        <v>39141</v>
      </c>
      <c r="B38">
        <v>0.35625468023129259</v>
      </c>
      <c r="C38">
        <v>0.4</v>
      </c>
      <c r="D38">
        <v>0</v>
      </c>
      <c r="E38">
        <v>9.3820203469388956E-3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0.23436329942176851</v>
      </c>
    </row>
    <row r="39" spans="1:13" x14ac:dyDescent="0.35">
      <c r="A39" s="1">
        <v>39172</v>
      </c>
      <c r="B39">
        <v>0.30000001012175531</v>
      </c>
      <c r="C39">
        <v>0.4</v>
      </c>
      <c r="D39">
        <v>0</v>
      </c>
      <c r="E39">
        <v>0.29999998481736712</v>
      </c>
      <c r="F39">
        <v>0</v>
      </c>
      <c r="G39">
        <v>0</v>
      </c>
      <c r="H39">
        <v>0</v>
      </c>
      <c r="I39">
        <v>0</v>
      </c>
      <c r="J39">
        <v>0</v>
      </c>
      <c r="K39">
        <v>5.0608776406791871E-9</v>
      </c>
      <c r="L39">
        <v>0</v>
      </c>
      <c r="M39">
        <v>0</v>
      </c>
    </row>
    <row r="40" spans="1:13" x14ac:dyDescent="0.35">
      <c r="A40" s="1">
        <v>39202</v>
      </c>
      <c r="B40">
        <v>0.25</v>
      </c>
      <c r="C40">
        <v>0.4</v>
      </c>
      <c r="D40">
        <v>0</v>
      </c>
      <c r="E40">
        <v>0.35</v>
      </c>
      <c r="F40">
        <v>0</v>
      </c>
      <c r="G40">
        <v>0</v>
      </c>
      <c r="H40">
        <v>0</v>
      </c>
      <c r="I40">
        <v>0</v>
      </c>
      <c r="J40">
        <v>0</v>
      </c>
      <c r="K40">
        <v>7.626553786538771E-19</v>
      </c>
      <c r="L40">
        <v>0</v>
      </c>
      <c r="M40">
        <v>0</v>
      </c>
    </row>
    <row r="41" spans="1:13" x14ac:dyDescent="0.35">
      <c r="A41" s="1">
        <v>39233</v>
      </c>
      <c r="B41">
        <v>0.2</v>
      </c>
      <c r="C41">
        <v>0.4</v>
      </c>
      <c r="D41">
        <v>0</v>
      </c>
      <c r="E41">
        <v>0.4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35">
      <c r="A42" s="1">
        <v>39263</v>
      </c>
      <c r="B42">
        <v>0.20000000000967119</v>
      </c>
      <c r="C42">
        <v>0.4</v>
      </c>
      <c r="D42">
        <v>0</v>
      </c>
      <c r="E42">
        <v>0.39999999999032881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35">
      <c r="A43" s="1">
        <v>39294</v>
      </c>
      <c r="B43">
        <v>0.2</v>
      </c>
      <c r="C43">
        <v>0.4</v>
      </c>
      <c r="D43">
        <v>0</v>
      </c>
      <c r="E43">
        <v>0.4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35">
      <c r="A44" s="1">
        <v>39325</v>
      </c>
      <c r="B44">
        <v>0.2195685585901038</v>
      </c>
      <c r="C44">
        <v>0.4</v>
      </c>
      <c r="D44">
        <v>0.38043144140989621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35">
      <c r="A45" s="1">
        <v>39355</v>
      </c>
      <c r="B45">
        <v>0.2407694045521199</v>
      </c>
      <c r="C45">
        <v>0.4</v>
      </c>
      <c r="D45">
        <v>0</v>
      </c>
      <c r="E45">
        <v>0.35923059544788011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35">
      <c r="A46" s="1">
        <v>39386</v>
      </c>
      <c r="B46">
        <v>0.42364923125819282</v>
      </c>
      <c r="C46">
        <v>0.4</v>
      </c>
      <c r="D46">
        <v>0</v>
      </c>
      <c r="E46">
        <v>0.14740923019877511</v>
      </c>
      <c r="F46">
        <v>0</v>
      </c>
      <c r="G46">
        <v>0</v>
      </c>
      <c r="H46">
        <v>0</v>
      </c>
      <c r="I46">
        <v>0</v>
      </c>
      <c r="J46">
        <v>0</v>
      </c>
      <c r="K46">
        <v>2.8941538543032129E-2</v>
      </c>
      <c r="L46">
        <v>0</v>
      </c>
      <c r="M46">
        <v>0</v>
      </c>
    </row>
    <row r="47" spans="1:13" x14ac:dyDescent="0.35">
      <c r="A47" s="1">
        <v>39416</v>
      </c>
      <c r="B47">
        <v>0.40538621888940451</v>
      </c>
      <c r="C47">
        <v>0.4</v>
      </c>
      <c r="D47">
        <v>0</v>
      </c>
      <c r="E47">
        <v>0.19461378111059549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35">
      <c r="A48" s="1">
        <v>39447</v>
      </c>
      <c r="B48">
        <v>0.20728213706159329</v>
      </c>
      <c r="C48">
        <v>0.4</v>
      </c>
      <c r="D48">
        <v>0</v>
      </c>
      <c r="E48">
        <v>0.39271786293840671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</row>
    <row r="49" spans="1:13" x14ac:dyDescent="0.35">
      <c r="A49" s="1">
        <v>39478</v>
      </c>
      <c r="B49">
        <v>0.26564651014847829</v>
      </c>
      <c r="C49">
        <v>0.4</v>
      </c>
      <c r="D49">
        <v>0</v>
      </c>
      <c r="E49">
        <v>0.33435348985152169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</row>
    <row r="50" spans="1:13" x14ac:dyDescent="0.35">
      <c r="A50" s="1">
        <v>39507</v>
      </c>
      <c r="B50">
        <v>0.58281987514156219</v>
      </c>
      <c r="C50">
        <v>0.4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1.7180124858437739E-2</v>
      </c>
      <c r="L50">
        <v>0</v>
      </c>
      <c r="M50">
        <v>0</v>
      </c>
    </row>
    <row r="51" spans="1:13" x14ac:dyDescent="0.35">
      <c r="A51" s="1">
        <v>39538</v>
      </c>
      <c r="B51">
        <v>0.57882804851249803</v>
      </c>
      <c r="C51">
        <v>0.4</v>
      </c>
      <c r="D51">
        <v>0</v>
      </c>
      <c r="E51">
        <v>2.117195148750195E-2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</row>
    <row r="52" spans="1:13" x14ac:dyDescent="0.35">
      <c r="A52" s="1">
        <v>39568</v>
      </c>
      <c r="B52">
        <v>0.41324427290030907</v>
      </c>
      <c r="C52">
        <v>0.4</v>
      </c>
      <c r="D52">
        <v>0</v>
      </c>
      <c r="E52">
        <v>0.1867557270996909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</row>
    <row r="53" spans="1:13" x14ac:dyDescent="0.35">
      <c r="A53" s="1">
        <v>39599</v>
      </c>
      <c r="B53">
        <v>0.20044034855511289</v>
      </c>
      <c r="C53">
        <v>0.4</v>
      </c>
      <c r="D53">
        <v>0</v>
      </c>
      <c r="E53">
        <v>0.39955965144488709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</row>
    <row r="54" spans="1:13" x14ac:dyDescent="0.35">
      <c r="A54" s="1">
        <v>39629</v>
      </c>
      <c r="B54">
        <v>0.38279957890048849</v>
      </c>
      <c r="C54">
        <v>0.4</v>
      </c>
      <c r="D54">
        <v>0</v>
      </c>
      <c r="E54">
        <v>0.2172004210995114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</row>
    <row r="55" spans="1:13" x14ac:dyDescent="0.35">
      <c r="A55" s="1">
        <v>39660</v>
      </c>
      <c r="B55">
        <v>0.20097733682185051</v>
      </c>
      <c r="C55">
        <v>0.4</v>
      </c>
      <c r="D55">
        <v>0</v>
      </c>
      <c r="E55">
        <v>0.39902266317814949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</row>
    <row r="56" spans="1:13" x14ac:dyDescent="0.35">
      <c r="A56" s="1">
        <v>39691</v>
      </c>
      <c r="B56">
        <v>0.22986330498910351</v>
      </c>
      <c r="C56">
        <v>0.4</v>
      </c>
      <c r="D56">
        <v>0</v>
      </c>
      <c r="E56">
        <v>0.37013669501089652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</row>
    <row r="57" spans="1:13" x14ac:dyDescent="0.35">
      <c r="A57" s="1">
        <v>39721</v>
      </c>
      <c r="B57">
        <v>0.26227204120493208</v>
      </c>
      <c r="C57">
        <v>0.4</v>
      </c>
      <c r="D57">
        <v>0</v>
      </c>
      <c r="E57">
        <v>0.3377279587950679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</row>
    <row r="58" spans="1:13" x14ac:dyDescent="0.35">
      <c r="A58" s="1">
        <v>39752</v>
      </c>
      <c r="B58">
        <v>0.2000000009960701</v>
      </c>
      <c r="C58">
        <v>0.4</v>
      </c>
      <c r="D58">
        <v>0</v>
      </c>
      <c r="E58">
        <v>0.39999999900392991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35">
      <c r="A59" s="1">
        <v>39782</v>
      </c>
      <c r="B59">
        <v>0.41663110408919879</v>
      </c>
      <c r="C59">
        <v>0.4</v>
      </c>
      <c r="D59">
        <v>0</v>
      </c>
      <c r="E59">
        <v>9.9946656133798217E-2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8.3422239777002971E-2</v>
      </c>
    </row>
    <row r="60" spans="1:13" x14ac:dyDescent="0.35">
      <c r="A60" s="1">
        <v>39813</v>
      </c>
      <c r="B60">
        <v>0.20000001639247281</v>
      </c>
      <c r="C60">
        <v>0.4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0.3999999836075272</v>
      </c>
    </row>
    <row r="61" spans="1:13" x14ac:dyDescent="0.35">
      <c r="A61" s="1">
        <v>39844</v>
      </c>
      <c r="B61">
        <v>0.20000062352282019</v>
      </c>
      <c r="C61">
        <v>0.4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0.39999937647717981</v>
      </c>
    </row>
    <row r="62" spans="1:13" x14ac:dyDescent="0.35">
      <c r="A62" s="1">
        <v>39872</v>
      </c>
      <c r="B62">
        <v>0.20000000000000559</v>
      </c>
      <c r="C62">
        <v>0.4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0.39999999999999442</v>
      </c>
    </row>
    <row r="63" spans="1:13" x14ac:dyDescent="0.35">
      <c r="A63" s="1">
        <v>39903</v>
      </c>
      <c r="B63">
        <v>0.2000000000001583</v>
      </c>
      <c r="C63">
        <v>0.4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0.3999999999998417</v>
      </c>
    </row>
    <row r="64" spans="1:13" x14ac:dyDescent="0.35">
      <c r="A64" s="1">
        <v>39933</v>
      </c>
      <c r="B64">
        <v>0.59999999878401733</v>
      </c>
      <c r="C64">
        <v>0.4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1.2159826567668451E-9</v>
      </c>
    </row>
    <row r="65" spans="1:13" x14ac:dyDescent="0.35">
      <c r="A65" s="1">
        <v>39964</v>
      </c>
      <c r="B65">
        <v>0.6</v>
      </c>
      <c r="C65">
        <v>0.4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4.0180449151112068E-22</v>
      </c>
    </row>
    <row r="66" spans="1:13" x14ac:dyDescent="0.35">
      <c r="A66" s="1">
        <v>39994</v>
      </c>
      <c r="B66">
        <v>0.4</v>
      </c>
      <c r="C66">
        <v>0.4</v>
      </c>
      <c r="D66">
        <v>0</v>
      </c>
      <c r="E66">
        <v>0.19999999525996021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4.7400398443347252E-9</v>
      </c>
    </row>
    <row r="67" spans="1:13" x14ac:dyDescent="0.35">
      <c r="A67" s="1">
        <v>40025</v>
      </c>
      <c r="B67">
        <v>0.4</v>
      </c>
      <c r="C67">
        <v>0.4</v>
      </c>
      <c r="D67">
        <v>0</v>
      </c>
      <c r="E67">
        <v>0.19602632130877329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3.9736786912267117E-3</v>
      </c>
    </row>
    <row r="68" spans="1:13" x14ac:dyDescent="0.35">
      <c r="A68" s="1">
        <v>40056</v>
      </c>
      <c r="B68">
        <v>0.4</v>
      </c>
      <c r="C68">
        <v>0.4</v>
      </c>
      <c r="D68">
        <v>0</v>
      </c>
      <c r="E68">
        <v>0.19004219411241599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9.9578058875840515E-3</v>
      </c>
    </row>
    <row r="69" spans="1:13" x14ac:dyDescent="0.35">
      <c r="A69" s="1">
        <v>40086</v>
      </c>
      <c r="B69">
        <v>0.35200957915271491</v>
      </c>
      <c r="C69">
        <v>0.4</v>
      </c>
      <c r="D69">
        <v>0</v>
      </c>
      <c r="E69">
        <v>0.2449760521182128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3.0143687290723029E-3</v>
      </c>
    </row>
    <row r="70" spans="1:13" x14ac:dyDescent="0.35">
      <c r="A70" s="1">
        <v>40117</v>
      </c>
      <c r="B70">
        <v>0.4</v>
      </c>
      <c r="C70">
        <v>0.4</v>
      </c>
      <c r="D70">
        <v>0</v>
      </c>
      <c r="E70">
        <v>0.19597521615457461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4.0247838454254186E-3</v>
      </c>
    </row>
    <row r="71" spans="1:13" x14ac:dyDescent="0.35">
      <c r="A71" s="1">
        <v>40147</v>
      </c>
      <c r="B71">
        <v>0.20000000001291779</v>
      </c>
      <c r="C71">
        <v>0.4</v>
      </c>
      <c r="D71">
        <v>0</v>
      </c>
      <c r="E71">
        <v>0.39999999998708208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</row>
    <row r="72" spans="1:13" x14ac:dyDescent="0.35">
      <c r="A72" s="1">
        <v>40178</v>
      </c>
      <c r="B72">
        <v>0.447975630385678</v>
      </c>
      <c r="C72">
        <v>0.4</v>
      </c>
      <c r="D72">
        <v>0</v>
      </c>
      <c r="E72">
        <v>0.14696344557851701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5.060924035804935E-3</v>
      </c>
    </row>
    <row r="73" spans="1:13" x14ac:dyDescent="0.35">
      <c r="A73" s="1">
        <v>40209</v>
      </c>
      <c r="B73">
        <v>0.4</v>
      </c>
      <c r="C73">
        <v>0.4</v>
      </c>
      <c r="D73">
        <v>0</v>
      </c>
      <c r="E73">
        <v>0.19598763878222619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4.0123612177738457E-3</v>
      </c>
    </row>
    <row r="74" spans="1:13" x14ac:dyDescent="0.35">
      <c r="A74" s="1">
        <v>40237</v>
      </c>
      <c r="B74">
        <v>0.20000000000035231</v>
      </c>
      <c r="C74">
        <v>0.4</v>
      </c>
      <c r="D74">
        <v>0</v>
      </c>
      <c r="E74">
        <v>0.2999999999997357</v>
      </c>
      <c r="F74">
        <v>0</v>
      </c>
      <c r="G74">
        <v>9.9999999999911909E-2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35">
      <c r="A75" s="1">
        <v>40268</v>
      </c>
      <c r="B75">
        <v>0.54393343104149827</v>
      </c>
      <c r="C75">
        <v>0.4</v>
      </c>
      <c r="D75">
        <v>0</v>
      </c>
      <c r="E75">
        <v>4.8988905173583043E-2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7.0776637849187017E-3</v>
      </c>
    </row>
    <row r="76" spans="1:13" x14ac:dyDescent="0.35">
      <c r="A76" s="1">
        <v>40298</v>
      </c>
      <c r="B76">
        <v>0.35000292397528848</v>
      </c>
      <c r="C76">
        <v>0.4</v>
      </c>
      <c r="D76">
        <v>0.24999269006177871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4.3859629327637626E-6</v>
      </c>
    </row>
    <row r="77" spans="1:13" x14ac:dyDescent="0.35">
      <c r="A77" s="1">
        <v>40329</v>
      </c>
      <c r="B77">
        <v>0.2219800857991093</v>
      </c>
      <c r="C77">
        <v>0.4</v>
      </c>
      <c r="D77">
        <v>0</v>
      </c>
      <c r="E77">
        <v>0.1890099571004453</v>
      </c>
      <c r="F77">
        <v>0</v>
      </c>
      <c r="G77">
        <v>0.1890099571004453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35">
      <c r="A78" s="1">
        <v>40359</v>
      </c>
      <c r="B78">
        <v>0.53714669706795359</v>
      </c>
      <c r="C78">
        <v>0.4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6.285330293204637E-2</v>
      </c>
    </row>
    <row r="79" spans="1:13" x14ac:dyDescent="0.35">
      <c r="A79" s="1">
        <v>40390</v>
      </c>
      <c r="B79">
        <v>0.52613713701819842</v>
      </c>
      <c r="C79">
        <v>0.4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7.38628629818016E-2</v>
      </c>
    </row>
    <row r="80" spans="1:13" x14ac:dyDescent="0.35">
      <c r="A80" s="1">
        <v>40421</v>
      </c>
      <c r="B80">
        <v>0.22475306415371291</v>
      </c>
      <c r="C80">
        <v>0.4</v>
      </c>
      <c r="D80">
        <v>0.18762346792314349</v>
      </c>
      <c r="E80">
        <v>0</v>
      </c>
      <c r="F80">
        <v>0</v>
      </c>
      <c r="G80">
        <v>0.18762346792314349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</row>
    <row r="81" spans="1:13" x14ac:dyDescent="0.35">
      <c r="A81" s="1">
        <v>40451</v>
      </c>
      <c r="B81">
        <v>0.2222931623304453</v>
      </c>
      <c r="C81">
        <v>0.4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0.37770683766955471</v>
      </c>
    </row>
    <row r="82" spans="1:13" x14ac:dyDescent="0.35">
      <c r="A82" s="1">
        <v>40482</v>
      </c>
      <c r="B82">
        <v>0.25020569309224028</v>
      </c>
      <c r="C82">
        <v>0.4</v>
      </c>
      <c r="D82">
        <v>0.3497600247257196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3.4282182040056018E-5</v>
      </c>
    </row>
    <row r="83" spans="1:13" x14ac:dyDescent="0.35">
      <c r="A83" s="1">
        <v>40512</v>
      </c>
      <c r="B83">
        <v>0.31066635021151451</v>
      </c>
      <c r="C83">
        <v>0.4</v>
      </c>
      <c r="D83">
        <v>0.28400047468272832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5.3331751057572301E-3</v>
      </c>
    </row>
    <row r="84" spans="1:13" x14ac:dyDescent="0.35">
      <c r="A84" s="1">
        <v>40543</v>
      </c>
      <c r="B84">
        <v>0.31037394331345192</v>
      </c>
      <c r="C84">
        <v>0.4</v>
      </c>
      <c r="D84">
        <v>0.28443908502982213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5.1869716567259708E-3</v>
      </c>
    </row>
    <row r="85" spans="1:13" x14ac:dyDescent="0.35">
      <c r="A85" s="1">
        <v>40574</v>
      </c>
      <c r="B85">
        <v>0.232735986379422</v>
      </c>
      <c r="C85">
        <v>0.4</v>
      </c>
      <c r="D85">
        <v>0.27544801021543353</v>
      </c>
      <c r="E85">
        <v>9.1816003405144508E-2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35">
      <c r="A86" s="1">
        <v>40602</v>
      </c>
      <c r="B86">
        <v>0.23257538098995659</v>
      </c>
      <c r="C86">
        <v>0.4</v>
      </c>
      <c r="D86">
        <v>0</v>
      </c>
      <c r="E86">
        <v>9.1856154752510855E-2</v>
      </c>
      <c r="F86">
        <v>0</v>
      </c>
      <c r="G86">
        <v>0.27556846425753251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35">
      <c r="A87" s="1">
        <v>40633</v>
      </c>
      <c r="B87">
        <v>0.30922473517554799</v>
      </c>
      <c r="C87">
        <v>0.4</v>
      </c>
      <c r="D87">
        <v>0.28616289723667793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4.6123675877740257E-3</v>
      </c>
    </row>
    <row r="88" spans="1:13" x14ac:dyDescent="0.35">
      <c r="A88" s="1">
        <v>40663</v>
      </c>
      <c r="B88">
        <v>0.30998147065213488</v>
      </c>
      <c r="C88">
        <v>0.4</v>
      </c>
      <c r="D88">
        <v>0.28502779402179762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4.9907353260674782E-3</v>
      </c>
    </row>
    <row r="89" spans="1:13" x14ac:dyDescent="0.35">
      <c r="A89" s="1">
        <v>40694</v>
      </c>
      <c r="B89">
        <v>0.26297945088446012</v>
      </c>
      <c r="C89">
        <v>0.4</v>
      </c>
      <c r="D89">
        <v>0</v>
      </c>
      <c r="E89">
        <v>0</v>
      </c>
      <c r="F89">
        <v>0</v>
      </c>
      <c r="G89">
        <v>0.33485730730146318</v>
      </c>
      <c r="H89">
        <v>0</v>
      </c>
      <c r="I89">
        <v>0</v>
      </c>
      <c r="J89">
        <v>0</v>
      </c>
      <c r="K89">
        <v>0</v>
      </c>
      <c r="L89">
        <v>0</v>
      </c>
      <c r="M89">
        <v>2.1632418140766808E-3</v>
      </c>
    </row>
    <row r="90" spans="1:13" x14ac:dyDescent="0.35">
      <c r="A90" s="1">
        <v>40724</v>
      </c>
      <c r="B90">
        <v>0.26508433687202909</v>
      </c>
      <c r="C90">
        <v>0.4</v>
      </c>
      <c r="D90">
        <v>0.33240160698263271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2.5140561453381831E-3</v>
      </c>
    </row>
    <row r="91" spans="1:13" x14ac:dyDescent="0.35">
      <c r="A91" s="1">
        <v>40755</v>
      </c>
      <c r="B91">
        <v>0.30852918612728819</v>
      </c>
      <c r="C91">
        <v>0.4</v>
      </c>
      <c r="D91">
        <v>0.28720622080906771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4.2645930636440793E-3</v>
      </c>
    </row>
    <row r="92" spans="1:13" x14ac:dyDescent="0.35">
      <c r="A92" s="1">
        <v>40786</v>
      </c>
      <c r="B92">
        <v>0.30930733987216602</v>
      </c>
      <c r="C92">
        <v>0.4</v>
      </c>
      <c r="D92">
        <v>0.28603899019175111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4.6536699360829664E-3</v>
      </c>
    </row>
    <row r="93" spans="1:13" x14ac:dyDescent="0.35">
      <c r="A93" s="1">
        <v>40816</v>
      </c>
      <c r="B93">
        <v>0.43002361292950331</v>
      </c>
      <c r="C93">
        <v>0.4</v>
      </c>
      <c r="D93">
        <v>0</v>
      </c>
      <c r="E93">
        <v>0.12003541939425499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4.9940967676241642E-2</v>
      </c>
    </row>
    <row r="94" spans="1:13" x14ac:dyDescent="0.35">
      <c r="A94" s="1">
        <v>40847</v>
      </c>
      <c r="B94">
        <v>0.55458512526477322</v>
      </c>
      <c r="C94">
        <v>0.4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4.5414874735226769E-2</v>
      </c>
    </row>
    <row r="95" spans="1:13" x14ac:dyDescent="0.35">
      <c r="A95" s="1">
        <v>40877</v>
      </c>
      <c r="B95">
        <v>0.2006077511028255</v>
      </c>
      <c r="C95">
        <v>0.4</v>
      </c>
      <c r="D95">
        <v>0</v>
      </c>
      <c r="E95">
        <v>0.39939224889717451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</row>
    <row r="96" spans="1:13" x14ac:dyDescent="0.35">
      <c r="A96" s="1">
        <v>40908</v>
      </c>
      <c r="B96">
        <v>0.53788685460461483</v>
      </c>
      <c r="C96">
        <v>0.4</v>
      </c>
      <c r="D96">
        <v>0</v>
      </c>
      <c r="E96">
        <v>0</v>
      </c>
      <c r="F96">
        <v>0</v>
      </c>
      <c r="G96">
        <v>4.7981142434102481E-2</v>
      </c>
      <c r="H96">
        <v>0</v>
      </c>
      <c r="I96">
        <v>0</v>
      </c>
      <c r="J96">
        <v>0</v>
      </c>
      <c r="K96">
        <v>0</v>
      </c>
      <c r="L96">
        <v>0</v>
      </c>
      <c r="M96">
        <v>1.4132002961282669E-2</v>
      </c>
    </row>
    <row r="97" spans="1:13" x14ac:dyDescent="0.35">
      <c r="A97" s="1">
        <v>40939</v>
      </c>
      <c r="B97">
        <v>0.4</v>
      </c>
      <c r="C97">
        <v>0.4</v>
      </c>
      <c r="D97">
        <v>0</v>
      </c>
      <c r="E97">
        <v>0</v>
      </c>
      <c r="F97">
        <v>0</v>
      </c>
      <c r="G97">
        <v>0.18991263678501491</v>
      </c>
      <c r="H97">
        <v>0</v>
      </c>
      <c r="I97">
        <v>0</v>
      </c>
      <c r="J97">
        <v>0</v>
      </c>
      <c r="K97">
        <v>0</v>
      </c>
      <c r="L97">
        <v>0</v>
      </c>
      <c r="M97">
        <v>1.008736321498515E-2</v>
      </c>
    </row>
    <row r="98" spans="1:13" x14ac:dyDescent="0.35">
      <c r="A98" s="1">
        <v>40968</v>
      </c>
      <c r="B98">
        <v>0.4</v>
      </c>
      <c r="C98">
        <v>0.4</v>
      </c>
      <c r="D98">
        <v>0</v>
      </c>
      <c r="E98">
        <v>0</v>
      </c>
      <c r="F98">
        <v>0</v>
      </c>
      <c r="G98">
        <v>0.189829874214825</v>
      </c>
      <c r="H98">
        <v>0</v>
      </c>
      <c r="I98">
        <v>0</v>
      </c>
      <c r="J98">
        <v>0</v>
      </c>
      <c r="K98">
        <v>0</v>
      </c>
      <c r="L98">
        <v>0</v>
      </c>
      <c r="M98">
        <v>1.017012578517505E-2</v>
      </c>
    </row>
    <row r="99" spans="1:13" x14ac:dyDescent="0.35">
      <c r="A99" s="1">
        <v>40999</v>
      </c>
      <c r="B99">
        <v>0.4</v>
      </c>
      <c r="C99">
        <v>0.4</v>
      </c>
      <c r="D99">
        <v>0</v>
      </c>
      <c r="E99">
        <v>0.19999982448770229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1.755122977103522E-7</v>
      </c>
    </row>
    <row r="100" spans="1:13" x14ac:dyDescent="0.35">
      <c r="A100" s="1">
        <v>41029</v>
      </c>
      <c r="B100">
        <v>0.20000000005853499</v>
      </c>
      <c r="C100">
        <v>0.4</v>
      </c>
      <c r="D100">
        <v>0</v>
      </c>
      <c r="E100">
        <v>0.19999999997073251</v>
      </c>
      <c r="F100">
        <v>0</v>
      </c>
      <c r="G100">
        <v>0.19999999997073251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35">
      <c r="A101" s="1">
        <v>41060</v>
      </c>
      <c r="B101">
        <v>0.4</v>
      </c>
      <c r="C101">
        <v>0.4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0.18944611158812069</v>
      </c>
      <c r="J101">
        <v>0</v>
      </c>
      <c r="K101">
        <v>0</v>
      </c>
      <c r="L101">
        <v>0</v>
      </c>
      <c r="M101">
        <v>1.0553888411879269E-2</v>
      </c>
    </row>
    <row r="102" spans="1:13" x14ac:dyDescent="0.35">
      <c r="A102" s="1">
        <v>41090</v>
      </c>
      <c r="B102">
        <v>0.58236063507052294</v>
      </c>
      <c r="C102">
        <v>0.4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1.102460308092318E-2</v>
      </c>
      <c r="K102">
        <v>0</v>
      </c>
      <c r="L102">
        <v>0</v>
      </c>
      <c r="M102">
        <v>6.6147618485539053E-3</v>
      </c>
    </row>
    <row r="103" spans="1:13" x14ac:dyDescent="0.35">
      <c r="A103" s="1">
        <v>41121</v>
      </c>
      <c r="B103">
        <v>0.44988421268854722</v>
      </c>
      <c r="C103">
        <v>0.4</v>
      </c>
      <c r="D103">
        <v>0</v>
      </c>
      <c r="E103">
        <v>0.14982631903282079</v>
      </c>
      <c r="F103">
        <v>0</v>
      </c>
      <c r="G103">
        <v>0</v>
      </c>
      <c r="H103">
        <v>0</v>
      </c>
      <c r="I103">
        <v>0</v>
      </c>
      <c r="J103">
        <v>2.8946827863207241E-4</v>
      </c>
      <c r="K103">
        <v>0</v>
      </c>
      <c r="L103">
        <v>0</v>
      </c>
      <c r="M103">
        <v>0</v>
      </c>
    </row>
    <row r="104" spans="1:13" x14ac:dyDescent="0.35">
      <c r="A104" s="1">
        <v>41152</v>
      </c>
      <c r="B104">
        <v>0.59995826379885442</v>
      </c>
      <c r="C104">
        <v>0.4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3.1302150859183082E-5</v>
      </c>
      <c r="K104">
        <v>0</v>
      </c>
      <c r="L104">
        <v>0</v>
      </c>
      <c r="M104">
        <v>1.0434050286394361E-5</v>
      </c>
    </row>
    <row r="105" spans="1:13" x14ac:dyDescent="0.35">
      <c r="A105" s="1">
        <v>41182</v>
      </c>
      <c r="B105">
        <v>0.35640540773972351</v>
      </c>
      <c r="C105">
        <v>0.4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0.23398648065069119</v>
      </c>
      <c r="J105">
        <v>0</v>
      </c>
      <c r="K105">
        <v>0</v>
      </c>
      <c r="L105">
        <v>0</v>
      </c>
      <c r="M105">
        <v>9.6081116095852789E-3</v>
      </c>
    </row>
    <row r="106" spans="1:13" x14ac:dyDescent="0.35">
      <c r="A106" s="1">
        <v>41213</v>
      </c>
      <c r="B106">
        <v>0.25000018680194053</v>
      </c>
      <c r="C106">
        <v>0.4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0.34999978206440269</v>
      </c>
      <c r="J106">
        <v>0</v>
      </c>
      <c r="K106">
        <v>0</v>
      </c>
      <c r="L106">
        <v>0</v>
      </c>
      <c r="M106">
        <v>3.1133656749599041E-8</v>
      </c>
    </row>
    <row r="107" spans="1:13" x14ac:dyDescent="0.35">
      <c r="A107" s="1">
        <v>41243</v>
      </c>
      <c r="B107">
        <v>0.2000058731151729</v>
      </c>
      <c r="C107">
        <v>0.4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0.39999412688482711</v>
      </c>
      <c r="J107">
        <v>0</v>
      </c>
      <c r="K107">
        <v>0</v>
      </c>
      <c r="L107">
        <v>0</v>
      </c>
      <c r="M107">
        <v>0</v>
      </c>
    </row>
    <row r="108" spans="1:13" x14ac:dyDescent="0.35">
      <c r="A108" s="1">
        <v>41274</v>
      </c>
      <c r="B108">
        <v>0.2535529259047386</v>
      </c>
      <c r="C108">
        <v>0.4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0.34585491977780491</v>
      </c>
      <c r="J108">
        <v>0</v>
      </c>
      <c r="K108">
        <v>0</v>
      </c>
      <c r="L108">
        <v>0</v>
      </c>
      <c r="M108">
        <v>5.9215431745643853E-4</v>
      </c>
    </row>
    <row r="109" spans="1:13" x14ac:dyDescent="0.35">
      <c r="A109" s="1">
        <v>41305</v>
      </c>
      <c r="B109">
        <v>0.25016173442576428</v>
      </c>
      <c r="C109">
        <v>0.4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0.3498113098366083</v>
      </c>
      <c r="J109">
        <v>2.6955737627380981E-5</v>
      </c>
      <c r="K109">
        <v>0</v>
      </c>
      <c r="L109">
        <v>0</v>
      </c>
      <c r="M109">
        <v>0</v>
      </c>
    </row>
    <row r="110" spans="1:13" x14ac:dyDescent="0.35">
      <c r="A110" s="1">
        <v>41333</v>
      </c>
      <c r="B110">
        <v>0.20000270952518001</v>
      </c>
      <c r="C110">
        <v>0.4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0.39999729047482002</v>
      </c>
      <c r="J110">
        <v>0</v>
      </c>
      <c r="K110">
        <v>0</v>
      </c>
      <c r="L110">
        <v>0</v>
      </c>
      <c r="M110">
        <v>0</v>
      </c>
    </row>
    <row r="111" spans="1:13" x14ac:dyDescent="0.35">
      <c r="A111" s="1">
        <v>41364</v>
      </c>
      <c r="B111">
        <v>0.20000000002498269</v>
      </c>
      <c r="C111">
        <v>0.4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0.39999999997501717</v>
      </c>
      <c r="J111">
        <v>0</v>
      </c>
      <c r="K111">
        <v>0</v>
      </c>
      <c r="L111">
        <v>0</v>
      </c>
      <c r="M111">
        <v>0</v>
      </c>
    </row>
    <row r="112" spans="1:13" x14ac:dyDescent="0.35">
      <c r="A112" s="1">
        <v>41394</v>
      </c>
      <c r="B112">
        <v>0.20000000000000151</v>
      </c>
      <c r="C112">
        <v>0.4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0.39999999999999852</v>
      </c>
      <c r="J112">
        <v>0</v>
      </c>
      <c r="K112">
        <v>0</v>
      </c>
      <c r="L112">
        <v>0</v>
      </c>
      <c r="M112">
        <v>0</v>
      </c>
    </row>
    <row r="113" spans="1:13" x14ac:dyDescent="0.35">
      <c r="A113" s="1">
        <v>41425</v>
      </c>
      <c r="B113">
        <v>0.2000000180957103</v>
      </c>
      <c r="C113">
        <v>0.4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0.3999999819042897</v>
      </c>
      <c r="J113">
        <v>0</v>
      </c>
      <c r="K113">
        <v>0</v>
      </c>
      <c r="L113">
        <v>0</v>
      </c>
      <c r="M113">
        <v>0</v>
      </c>
    </row>
    <row r="114" spans="1:13" x14ac:dyDescent="0.35">
      <c r="A114" s="1">
        <v>41455</v>
      </c>
      <c r="B114">
        <v>0.20000817952224101</v>
      </c>
      <c r="C114">
        <v>0.4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0.39999182047775889</v>
      </c>
      <c r="J114">
        <v>0</v>
      </c>
      <c r="K114">
        <v>0</v>
      </c>
      <c r="L114">
        <v>0</v>
      </c>
      <c r="M114">
        <v>0</v>
      </c>
    </row>
    <row r="115" spans="1:13" x14ac:dyDescent="0.35">
      <c r="A115" s="1">
        <v>41486</v>
      </c>
      <c r="B115">
        <v>0.2000510982726553</v>
      </c>
      <c r="C115">
        <v>0.4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0.39994890172734471</v>
      </c>
      <c r="J115">
        <v>0</v>
      </c>
      <c r="K115">
        <v>0</v>
      </c>
      <c r="L115">
        <v>0</v>
      </c>
      <c r="M115">
        <v>0</v>
      </c>
    </row>
    <row r="116" spans="1:13" x14ac:dyDescent="0.35">
      <c r="A116" s="1">
        <v>41517</v>
      </c>
      <c r="B116">
        <v>0.20000012737875439</v>
      </c>
      <c r="C116">
        <v>0.4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0.39999987262124548</v>
      </c>
      <c r="J116">
        <v>0</v>
      </c>
      <c r="K116">
        <v>0</v>
      </c>
      <c r="L116">
        <v>0</v>
      </c>
      <c r="M116">
        <v>0</v>
      </c>
    </row>
    <row r="117" spans="1:13" x14ac:dyDescent="0.35">
      <c r="A117" s="1">
        <v>41547</v>
      </c>
      <c r="B117">
        <v>0.2000000151162897</v>
      </c>
      <c r="C117">
        <v>0.4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0.3999999848837103</v>
      </c>
      <c r="J117">
        <v>0</v>
      </c>
      <c r="K117">
        <v>0</v>
      </c>
      <c r="L117">
        <v>0</v>
      </c>
      <c r="M117">
        <v>0</v>
      </c>
    </row>
    <row r="118" spans="1:13" x14ac:dyDescent="0.35">
      <c r="A118" s="1">
        <v>41578</v>
      </c>
      <c r="B118">
        <v>0.22257932362453159</v>
      </c>
      <c r="C118">
        <v>0.4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0.37742067637546839</v>
      </c>
      <c r="J118">
        <v>0</v>
      </c>
      <c r="K118">
        <v>0</v>
      </c>
      <c r="L118">
        <v>0</v>
      </c>
      <c r="M118">
        <v>0</v>
      </c>
    </row>
    <row r="119" spans="1:13" x14ac:dyDescent="0.35">
      <c r="A119" s="1">
        <v>41608</v>
      </c>
      <c r="B119">
        <v>0.21892992973768219</v>
      </c>
      <c r="C119">
        <v>0.4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0.38107007026231782</v>
      </c>
      <c r="J119">
        <v>0</v>
      </c>
      <c r="K119">
        <v>0</v>
      </c>
      <c r="L119">
        <v>0</v>
      </c>
      <c r="M119">
        <v>0</v>
      </c>
    </row>
    <row r="120" spans="1:13" x14ac:dyDescent="0.35">
      <c r="A120" s="1">
        <v>41639</v>
      </c>
      <c r="B120">
        <v>0.2193735580263482</v>
      </c>
      <c r="C120">
        <v>0.4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0.38062644197365181</v>
      </c>
      <c r="J120">
        <v>0</v>
      </c>
      <c r="K120">
        <v>0</v>
      </c>
      <c r="L120">
        <v>0</v>
      </c>
      <c r="M120">
        <v>0</v>
      </c>
    </row>
    <row r="121" spans="1:13" x14ac:dyDescent="0.35">
      <c r="A121" s="1">
        <v>41670</v>
      </c>
      <c r="B121">
        <v>0.20012992004839611</v>
      </c>
      <c r="C121">
        <v>0.4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0.3998700799516039</v>
      </c>
      <c r="J121">
        <v>0</v>
      </c>
      <c r="K121">
        <v>0</v>
      </c>
      <c r="L121">
        <v>0</v>
      </c>
      <c r="M121">
        <v>0</v>
      </c>
    </row>
    <row r="122" spans="1:13" x14ac:dyDescent="0.35">
      <c r="A122" s="1">
        <v>41698</v>
      </c>
      <c r="B122">
        <v>0.2201222402324339</v>
      </c>
      <c r="C122">
        <v>0.4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0.3798777597675661</v>
      </c>
      <c r="J122">
        <v>0</v>
      </c>
      <c r="K122">
        <v>0</v>
      </c>
      <c r="L122">
        <v>0</v>
      </c>
      <c r="M122">
        <v>0</v>
      </c>
    </row>
    <row r="123" spans="1:13" x14ac:dyDescent="0.35">
      <c r="A123" s="1">
        <v>41729</v>
      </c>
      <c r="B123">
        <v>0.2186901103267512</v>
      </c>
      <c r="C123">
        <v>0.4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0.38130988967324869</v>
      </c>
      <c r="J123">
        <v>0</v>
      </c>
      <c r="K123">
        <v>0</v>
      </c>
      <c r="L123">
        <v>0</v>
      </c>
      <c r="M123">
        <v>0</v>
      </c>
    </row>
    <row r="124" spans="1:13" x14ac:dyDescent="0.35">
      <c r="A124" s="1">
        <v>41759</v>
      </c>
      <c r="B124">
        <v>0.21816081381856431</v>
      </c>
      <c r="C124">
        <v>0.4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0.38183918618143559</v>
      </c>
      <c r="J124">
        <v>0</v>
      </c>
      <c r="K124">
        <v>0</v>
      </c>
      <c r="L124">
        <v>0</v>
      </c>
      <c r="M124">
        <v>0</v>
      </c>
    </row>
    <row r="125" spans="1:13" x14ac:dyDescent="0.35">
      <c r="A125" s="1">
        <v>41790</v>
      </c>
      <c r="B125">
        <v>0.22029197503985529</v>
      </c>
      <c r="C125">
        <v>0.4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0.37970802496014472</v>
      </c>
      <c r="J125">
        <v>0</v>
      </c>
      <c r="K125">
        <v>0</v>
      </c>
      <c r="L125">
        <v>0</v>
      </c>
      <c r="M125">
        <v>0</v>
      </c>
    </row>
    <row r="126" spans="1:13" x14ac:dyDescent="0.35">
      <c r="A126" s="1">
        <v>41820</v>
      </c>
      <c r="B126">
        <v>0.2190900204052616</v>
      </c>
      <c r="C126">
        <v>0.4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0.38090997959473838</v>
      </c>
      <c r="J126">
        <v>0</v>
      </c>
      <c r="K126">
        <v>0</v>
      </c>
      <c r="L126">
        <v>0</v>
      </c>
      <c r="M126">
        <v>0</v>
      </c>
    </row>
    <row r="127" spans="1:13" x14ac:dyDescent="0.35">
      <c r="A127" s="1">
        <v>41851</v>
      </c>
      <c r="B127">
        <v>0.22141344064650931</v>
      </c>
      <c r="C127">
        <v>0.4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0.37858655935349073</v>
      </c>
      <c r="J127">
        <v>0</v>
      </c>
      <c r="K127">
        <v>0</v>
      </c>
      <c r="L127">
        <v>0</v>
      </c>
      <c r="M127">
        <v>0</v>
      </c>
    </row>
    <row r="128" spans="1:13" x14ac:dyDescent="0.35">
      <c r="A128" s="1">
        <v>41882</v>
      </c>
      <c r="B128">
        <v>0.21921365335523799</v>
      </c>
      <c r="C128">
        <v>0.4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0.38078634664476202</v>
      </c>
      <c r="J128">
        <v>0</v>
      </c>
      <c r="K128">
        <v>0</v>
      </c>
      <c r="L128">
        <v>0</v>
      </c>
      <c r="M128">
        <v>0</v>
      </c>
    </row>
    <row r="129" spans="1:13" x14ac:dyDescent="0.35">
      <c r="A129" s="1">
        <v>41912</v>
      </c>
      <c r="B129">
        <v>0.21885170455441899</v>
      </c>
      <c r="C129">
        <v>0.4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0.38114829544558088</v>
      </c>
      <c r="J129">
        <v>0</v>
      </c>
      <c r="K129">
        <v>0</v>
      </c>
      <c r="L129">
        <v>0</v>
      </c>
      <c r="M129">
        <v>0</v>
      </c>
    </row>
    <row r="130" spans="1:13" x14ac:dyDescent="0.35">
      <c r="A130" s="1">
        <v>41943</v>
      </c>
      <c r="B130">
        <v>0.21949962974115009</v>
      </c>
      <c r="C130">
        <v>0.4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0.38050037025884992</v>
      </c>
      <c r="J130">
        <v>0</v>
      </c>
      <c r="K130">
        <v>0</v>
      </c>
      <c r="L130">
        <v>0</v>
      </c>
      <c r="M130">
        <v>0</v>
      </c>
    </row>
    <row r="131" spans="1:13" x14ac:dyDescent="0.35">
      <c r="A131" s="1">
        <v>41973</v>
      </c>
      <c r="B131">
        <v>0.22188691594678489</v>
      </c>
      <c r="C131">
        <v>0.4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0.37811308405321509</v>
      </c>
      <c r="J131">
        <v>0</v>
      </c>
      <c r="K131">
        <v>0</v>
      </c>
      <c r="L131">
        <v>0</v>
      </c>
      <c r="M131">
        <v>0</v>
      </c>
    </row>
    <row r="132" spans="1:13" x14ac:dyDescent="0.35">
      <c r="A132" s="1">
        <v>42004</v>
      </c>
      <c r="B132">
        <v>0.20006012693548711</v>
      </c>
      <c r="C132">
        <v>0.4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0.3999398730645129</v>
      </c>
      <c r="J132">
        <v>0</v>
      </c>
      <c r="K132">
        <v>0</v>
      </c>
      <c r="L132">
        <v>0</v>
      </c>
      <c r="M132">
        <v>0</v>
      </c>
    </row>
    <row r="133" spans="1:13" x14ac:dyDescent="0.35">
      <c r="A133" s="1">
        <v>42035</v>
      </c>
      <c r="B133">
        <v>0.22591514283208869</v>
      </c>
      <c r="C133">
        <v>0.4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0.37408485716791129</v>
      </c>
      <c r="J133">
        <v>0</v>
      </c>
      <c r="K133">
        <v>0</v>
      </c>
      <c r="L133">
        <v>0</v>
      </c>
      <c r="M133">
        <v>0</v>
      </c>
    </row>
    <row r="134" spans="1:13" x14ac:dyDescent="0.35">
      <c r="A134" s="1">
        <v>42063</v>
      </c>
      <c r="B134">
        <v>0.26038347735437711</v>
      </c>
      <c r="C134">
        <v>0.4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0.33961652264562292</v>
      </c>
      <c r="J134">
        <v>0</v>
      </c>
      <c r="K134">
        <v>0</v>
      </c>
      <c r="L134">
        <v>0</v>
      </c>
      <c r="M134">
        <v>0</v>
      </c>
    </row>
    <row r="135" spans="1:13" x14ac:dyDescent="0.35">
      <c r="A135" s="1">
        <v>42094</v>
      </c>
      <c r="B135">
        <v>0.46292785936659397</v>
      </c>
      <c r="C135">
        <v>0.4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8.1463929683297021E-2</v>
      </c>
      <c r="J135">
        <v>0</v>
      </c>
      <c r="K135">
        <v>0</v>
      </c>
      <c r="L135">
        <v>5.5608210950108962E-2</v>
      </c>
      <c r="M135">
        <v>0</v>
      </c>
    </row>
    <row r="136" spans="1:13" x14ac:dyDescent="0.35">
      <c r="A136" s="1">
        <v>42124</v>
      </c>
      <c r="B136">
        <v>0.22995243122508391</v>
      </c>
      <c r="C136">
        <v>0.4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0.37004756877491612</v>
      </c>
      <c r="J136">
        <v>0</v>
      </c>
      <c r="K136">
        <v>0</v>
      </c>
      <c r="L136">
        <v>0</v>
      </c>
      <c r="M136">
        <v>0</v>
      </c>
    </row>
    <row r="137" spans="1:13" x14ac:dyDescent="0.35">
      <c r="A137" s="1">
        <v>42155</v>
      </c>
      <c r="B137">
        <v>0.58493020265655959</v>
      </c>
      <c r="C137">
        <v>0.4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1.506979734344043E-2</v>
      </c>
      <c r="M137">
        <v>0</v>
      </c>
    </row>
    <row r="138" spans="1:13" x14ac:dyDescent="0.35">
      <c r="A138" s="1">
        <v>42185</v>
      </c>
      <c r="B138">
        <v>0.58161592580217414</v>
      </c>
      <c r="C138">
        <v>0.4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1.838407419782586E-2</v>
      </c>
      <c r="M138">
        <v>0</v>
      </c>
    </row>
    <row r="139" spans="1:13" x14ac:dyDescent="0.35">
      <c r="A139" s="1">
        <v>42216</v>
      </c>
      <c r="B139">
        <v>0.58112872550552042</v>
      </c>
      <c r="C139">
        <v>0.4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1.887127449447961E-2</v>
      </c>
      <c r="M139">
        <v>0</v>
      </c>
    </row>
    <row r="140" spans="1:13" x14ac:dyDescent="0.35">
      <c r="A140" s="1">
        <v>42247</v>
      </c>
      <c r="B140">
        <v>0.53430966861477258</v>
      </c>
      <c r="C140">
        <v>0.4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4.738494476912878E-2</v>
      </c>
      <c r="J140">
        <v>0</v>
      </c>
      <c r="K140">
        <v>0</v>
      </c>
      <c r="L140">
        <v>1.8305386616098561E-2</v>
      </c>
      <c r="M140">
        <v>0</v>
      </c>
    </row>
    <row r="141" spans="1:13" x14ac:dyDescent="0.35">
      <c r="A141" s="1">
        <v>42277</v>
      </c>
      <c r="B141">
        <v>0.51825798011402102</v>
      </c>
      <c r="C141">
        <v>0.4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8.174201988597897E-2</v>
      </c>
      <c r="M141">
        <v>0</v>
      </c>
    </row>
    <row r="142" spans="1:13" x14ac:dyDescent="0.35">
      <c r="A142" s="1">
        <v>42308</v>
      </c>
      <c r="B142">
        <v>0.4134728795592662</v>
      </c>
      <c r="C142">
        <v>0.4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5.6736439779633122E-2</v>
      </c>
      <c r="J142">
        <v>0</v>
      </c>
      <c r="K142">
        <v>0</v>
      </c>
      <c r="L142">
        <v>0.12979068066110061</v>
      </c>
      <c r="M142">
        <v>0</v>
      </c>
    </row>
    <row r="143" spans="1:13" x14ac:dyDescent="0.35">
      <c r="A143" s="1">
        <v>42338</v>
      </c>
      <c r="B143">
        <v>0.59987924446139651</v>
      </c>
      <c r="C143">
        <v>0.4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1.2075553860344849E-4</v>
      </c>
      <c r="M143">
        <v>0</v>
      </c>
    </row>
    <row r="144" spans="1:13" x14ac:dyDescent="0.35">
      <c r="A144" s="1">
        <v>42369</v>
      </c>
      <c r="B144">
        <v>0.56072352689406935</v>
      </c>
      <c r="C144">
        <v>0.4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3.9276473105930652E-2</v>
      </c>
      <c r="M144">
        <v>0</v>
      </c>
    </row>
    <row r="145" spans="1:13" x14ac:dyDescent="0.35">
      <c r="A145" s="1">
        <v>42400</v>
      </c>
      <c r="B145">
        <v>0.56133876446208875</v>
      </c>
      <c r="C145">
        <v>0.4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3.8661235537911218E-2</v>
      </c>
      <c r="M145">
        <v>0</v>
      </c>
    </row>
    <row r="146" spans="1:13" x14ac:dyDescent="0.35">
      <c r="A146" s="1">
        <v>42429</v>
      </c>
      <c r="B146">
        <v>0.44427987036050531</v>
      </c>
      <c r="C146">
        <v>0.4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0.116790097229621</v>
      </c>
      <c r="K146">
        <v>0</v>
      </c>
      <c r="L146">
        <v>3.8930032409873687E-2</v>
      </c>
      <c r="M146">
        <v>0</v>
      </c>
    </row>
    <row r="147" spans="1:13" x14ac:dyDescent="0.35">
      <c r="A147" s="1">
        <v>42460</v>
      </c>
      <c r="B147">
        <v>0.53057893235876175</v>
      </c>
      <c r="C147">
        <v>0.4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6.9421067641238246E-2</v>
      </c>
      <c r="M147">
        <v>0</v>
      </c>
    </row>
    <row r="148" spans="1:13" x14ac:dyDescent="0.35">
      <c r="A148" s="1">
        <v>42490</v>
      </c>
      <c r="B148">
        <v>0.55547598280081445</v>
      </c>
      <c r="C148">
        <v>0.4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4.45240171991855E-2</v>
      </c>
      <c r="M148">
        <v>0</v>
      </c>
    </row>
    <row r="149" spans="1:13" x14ac:dyDescent="0.35">
      <c r="A149" s="1">
        <v>42521</v>
      </c>
      <c r="B149">
        <v>0.54770509228211373</v>
      </c>
      <c r="C149">
        <v>0.4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5.2294907717886273E-2</v>
      </c>
      <c r="M149">
        <v>0</v>
      </c>
    </row>
    <row r="150" spans="1:13" x14ac:dyDescent="0.35">
      <c r="A150" s="1">
        <v>42551</v>
      </c>
      <c r="B150">
        <v>0.54196590120377763</v>
      </c>
      <c r="C150">
        <v>0.4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5.8034098796222323E-2</v>
      </c>
      <c r="M150">
        <v>0</v>
      </c>
    </row>
    <row r="151" spans="1:13" x14ac:dyDescent="0.35">
      <c r="A151" s="1">
        <v>42582</v>
      </c>
      <c r="B151">
        <v>0.53984141002057151</v>
      </c>
      <c r="C151">
        <v>0.4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6.0158589979428481E-2</v>
      </c>
      <c r="M151">
        <v>0</v>
      </c>
    </row>
    <row r="152" spans="1:13" x14ac:dyDescent="0.35">
      <c r="A152" s="1">
        <v>42613</v>
      </c>
      <c r="B152">
        <v>0.55727912329993456</v>
      </c>
      <c r="C152">
        <v>0.4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4.2720876700065462E-2</v>
      </c>
      <c r="M152">
        <v>0</v>
      </c>
    </row>
    <row r="153" spans="1:13" x14ac:dyDescent="0.35">
      <c r="A153" s="1">
        <v>42643</v>
      </c>
      <c r="B153">
        <v>0.55702903159849848</v>
      </c>
      <c r="C153">
        <v>0.4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4.2970968401501497E-2</v>
      </c>
      <c r="M153">
        <v>0</v>
      </c>
    </row>
    <row r="154" spans="1:13" x14ac:dyDescent="0.35">
      <c r="A154" s="1">
        <v>42674</v>
      </c>
      <c r="B154">
        <v>0.46598672457237328</v>
      </c>
      <c r="C154">
        <v>0.4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0.13401327542762659</v>
      </c>
      <c r="M154">
        <v>0</v>
      </c>
    </row>
    <row r="155" spans="1:13" x14ac:dyDescent="0.35">
      <c r="A155" s="1">
        <v>42704</v>
      </c>
      <c r="B155">
        <v>0.32131701560579712</v>
      </c>
      <c r="C155">
        <v>0.4</v>
      </c>
      <c r="D155">
        <v>0</v>
      </c>
      <c r="E155">
        <v>0</v>
      </c>
      <c r="F155">
        <v>0.26802447659130429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1.065850780289857E-2</v>
      </c>
      <c r="M155">
        <v>0</v>
      </c>
    </row>
    <row r="156" spans="1:13" x14ac:dyDescent="0.35">
      <c r="A156" s="1">
        <v>42735</v>
      </c>
      <c r="B156">
        <v>0.49810736013011941</v>
      </c>
      <c r="C156">
        <v>0.4</v>
      </c>
      <c r="D156">
        <v>0</v>
      </c>
      <c r="E156">
        <v>0</v>
      </c>
      <c r="F156">
        <v>9.9053680065059713E-2</v>
      </c>
      <c r="G156">
        <v>0</v>
      </c>
      <c r="H156">
        <v>0</v>
      </c>
      <c r="I156">
        <v>0</v>
      </c>
      <c r="J156">
        <v>2.8389598048209111E-3</v>
      </c>
      <c r="K156">
        <v>0</v>
      </c>
      <c r="L156">
        <v>0</v>
      </c>
      <c r="M156">
        <v>0</v>
      </c>
    </row>
    <row r="157" spans="1:13" x14ac:dyDescent="0.35">
      <c r="A157" s="1">
        <v>42766</v>
      </c>
      <c r="B157">
        <v>0.24970112188748869</v>
      </c>
      <c r="C157">
        <v>0.4</v>
      </c>
      <c r="D157">
        <v>0</v>
      </c>
      <c r="E157">
        <v>0</v>
      </c>
      <c r="F157">
        <v>0.35029887811251131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35">
      <c r="A158" s="1">
        <v>42794</v>
      </c>
      <c r="B158">
        <v>0.28400189886267579</v>
      </c>
      <c r="C158">
        <v>0.4</v>
      </c>
      <c r="D158">
        <v>0</v>
      </c>
      <c r="E158">
        <v>0</v>
      </c>
      <c r="F158">
        <v>0.31599810113732418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35">
      <c r="A159" s="1">
        <v>42825</v>
      </c>
      <c r="B159">
        <v>0.32184093445891487</v>
      </c>
      <c r="C159">
        <v>0.4</v>
      </c>
      <c r="D159">
        <v>0</v>
      </c>
      <c r="E159">
        <v>0</v>
      </c>
      <c r="F159">
        <v>0.27815906554108499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35">
      <c r="A160" s="1">
        <v>42855</v>
      </c>
      <c r="B160">
        <v>0.6</v>
      </c>
      <c r="C160">
        <v>0.4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35">
      <c r="A161" s="1">
        <v>42886</v>
      </c>
      <c r="B161">
        <v>0.44045604077847028</v>
      </c>
      <c r="C161">
        <v>0.4</v>
      </c>
      <c r="D161">
        <v>0</v>
      </c>
      <c r="E161">
        <v>0</v>
      </c>
      <c r="F161">
        <v>0.13568406116770551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2.3859898053824071E-2</v>
      </c>
      <c r="M161">
        <v>0</v>
      </c>
    </row>
    <row r="162" spans="1:13" x14ac:dyDescent="0.35">
      <c r="A162" s="1">
        <v>42916</v>
      </c>
      <c r="B162">
        <v>0.6</v>
      </c>
      <c r="C162">
        <v>0.4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35">
      <c r="A163" s="1">
        <v>42947</v>
      </c>
      <c r="B163">
        <v>0.2305856135436409</v>
      </c>
      <c r="C163">
        <v>0.4</v>
      </c>
      <c r="D163">
        <v>0</v>
      </c>
      <c r="E163">
        <v>0</v>
      </c>
      <c r="F163">
        <v>0.36941438645635899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35">
      <c r="A164" s="1">
        <v>42978</v>
      </c>
      <c r="B164">
        <v>0.6</v>
      </c>
      <c r="C164">
        <v>0.4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</row>
    <row r="165" spans="1:13" x14ac:dyDescent="0.35">
      <c r="A165" s="1">
        <v>43008</v>
      </c>
      <c r="B165">
        <v>0.6</v>
      </c>
      <c r="C165">
        <v>0.4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</row>
    <row r="166" spans="1:13" x14ac:dyDescent="0.35">
      <c r="A166" s="1">
        <v>43039</v>
      </c>
      <c r="B166">
        <v>0.6</v>
      </c>
      <c r="C166">
        <v>0.4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</row>
    <row r="167" spans="1:13" x14ac:dyDescent="0.35">
      <c r="A167" s="1">
        <v>43069</v>
      </c>
      <c r="B167">
        <v>0.51862110034482156</v>
      </c>
      <c r="C167">
        <v>0.4</v>
      </c>
      <c r="D167">
        <v>0</v>
      </c>
      <c r="E167">
        <v>0</v>
      </c>
      <c r="F167">
        <v>0</v>
      </c>
      <c r="G167">
        <v>0</v>
      </c>
      <c r="H167">
        <v>4.4770183390803603E-2</v>
      </c>
      <c r="I167">
        <v>0</v>
      </c>
      <c r="J167">
        <v>0</v>
      </c>
      <c r="K167">
        <v>0</v>
      </c>
      <c r="L167">
        <v>3.6608716264374827E-2</v>
      </c>
      <c r="M167">
        <v>0</v>
      </c>
    </row>
    <row r="168" spans="1:13" x14ac:dyDescent="0.35">
      <c r="A168" s="1">
        <v>43100</v>
      </c>
      <c r="B168">
        <v>0.6</v>
      </c>
      <c r="C168">
        <v>0.4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</row>
    <row r="169" spans="1:13" x14ac:dyDescent="0.35">
      <c r="A169" s="1">
        <v>43131</v>
      </c>
      <c r="B169">
        <v>0.6</v>
      </c>
      <c r="C169">
        <v>0.4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</row>
    <row r="170" spans="1:13" x14ac:dyDescent="0.35">
      <c r="A170" s="1">
        <v>43159</v>
      </c>
      <c r="B170">
        <v>0.24086180370726301</v>
      </c>
      <c r="C170">
        <v>0.4</v>
      </c>
      <c r="D170">
        <v>0</v>
      </c>
      <c r="E170">
        <v>0</v>
      </c>
      <c r="F170">
        <v>0.35913819629273702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</row>
    <row r="171" spans="1:13" x14ac:dyDescent="0.35">
      <c r="A171" s="1">
        <v>43190</v>
      </c>
      <c r="B171">
        <v>0.3445749584572137</v>
      </c>
      <c r="C171">
        <v>0.4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0.25542504154278628</v>
      </c>
      <c r="L171">
        <v>0</v>
      </c>
      <c r="M171">
        <v>0</v>
      </c>
    </row>
    <row r="172" spans="1:13" x14ac:dyDescent="0.35">
      <c r="A172" s="1">
        <v>43220</v>
      </c>
      <c r="B172">
        <v>0.24572716335759681</v>
      </c>
      <c r="C172">
        <v>0.4</v>
      </c>
      <c r="D172">
        <v>0</v>
      </c>
      <c r="E172">
        <v>0</v>
      </c>
      <c r="F172">
        <v>0</v>
      </c>
      <c r="G172">
        <v>0</v>
      </c>
      <c r="H172">
        <v>0.35427283664240322</v>
      </c>
      <c r="I172">
        <v>0</v>
      </c>
      <c r="J172">
        <v>0</v>
      </c>
      <c r="K172">
        <v>0</v>
      </c>
      <c r="L172">
        <v>0</v>
      </c>
      <c r="M172">
        <v>0</v>
      </c>
    </row>
    <row r="173" spans="1:13" x14ac:dyDescent="0.35">
      <c r="A173" s="1">
        <v>43251</v>
      </c>
      <c r="B173">
        <v>0.27748264267120221</v>
      </c>
      <c r="C173">
        <v>0.4</v>
      </c>
      <c r="D173">
        <v>0</v>
      </c>
      <c r="E173">
        <v>0</v>
      </c>
      <c r="F173">
        <v>0</v>
      </c>
      <c r="G173">
        <v>0</v>
      </c>
      <c r="H173">
        <v>0.32251735732879783</v>
      </c>
      <c r="I173">
        <v>0</v>
      </c>
      <c r="J173">
        <v>0</v>
      </c>
      <c r="K173">
        <v>0</v>
      </c>
      <c r="L173">
        <v>0</v>
      </c>
      <c r="M173">
        <v>0</v>
      </c>
    </row>
    <row r="174" spans="1:13" x14ac:dyDescent="0.35">
      <c r="A174" s="1">
        <v>43281</v>
      </c>
      <c r="B174">
        <v>0.23513830641823519</v>
      </c>
      <c r="C174">
        <v>0.4</v>
      </c>
      <c r="D174">
        <v>0</v>
      </c>
      <c r="E174">
        <v>0</v>
      </c>
      <c r="F174">
        <v>0</v>
      </c>
      <c r="G174">
        <v>0</v>
      </c>
      <c r="H174">
        <v>0.36486169358176468</v>
      </c>
      <c r="I174">
        <v>0</v>
      </c>
      <c r="J174">
        <v>0</v>
      </c>
      <c r="K174">
        <v>0</v>
      </c>
      <c r="L174">
        <v>0</v>
      </c>
      <c r="M174">
        <v>0</v>
      </c>
    </row>
    <row r="175" spans="1:13" x14ac:dyDescent="0.35">
      <c r="A175" s="1">
        <v>43312</v>
      </c>
      <c r="B175">
        <v>0.24476282156931961</v>
      </c>
      <c r="C175">
        <v>0.4</v>
      </c>
      <c r="D175">
        <v>0</v>
      </c>
      <c r="E175">
        <v>0</v>
      </c>
      <c r="F175">
        <v>0</v>
      </c>
      <c r="G175">
        <v>0</v>
      </c>
      <c r="H175">
        <v>0.26642788382301019</v>
      </c>
      <c r="I175">
        <v>8.8809294607670092E-2</v>
      </c>
      <c r="J175">
        <v>0</v>
      </c>
      <c r="K175">
        <v>0</v>
      </c>
      <c r="L175">
        <v>0</v>
      </c>
      <c r="M175">
        <v>0</v>
      </c>
    </row>
    <row r="176" spans="1:13" x14ac:dyDescent="0.35">
      <c r="A176" s="1">
        <v>43343</v>
      </c>
      <c r="B176">
        <v>0.32305779089922582</v>
      </c>
      <c r="C176">
        <v>0.4</v>
      </c>
      <c r="D176">
        <v>0</v>
      </c>
      <c r="E176">
        <v>0</v>
      </c>
      <c r="F176">
        <v>0</v>
      </c>
      <c r="G176">
        <v>0</v>
      </c>
      <c r="H176">
        <v>0.27694220910077422</v>
      </c>
      <c r="I176">
        <v>0</v>
      </c>
      <c r="J176">
        <v>0</v>
      </c>
      <c r="K176">
        <v>0</v>
      </c>
      <c r="L176">
        <v>0</v>
      </c>
      <c r="M176">
        <v>0</v>
      </c>
    </row>
    <row r="177" spans="1:13" x14ac:dyDescent="0.35">
      <c r="A177" s="1">
        <v>43373</v>
      </c>
      <c r="B177">
        <v>0.39666321688869249</v>
      </c>
      <c r="C177">
        <v>0.4</v>
      </c>
      <c r="D177">
        <v>0</v>
      </c>
      <c r="E177">
        <v>0</v>
      </c>
      <c r="F177">
        <v>0</v>
      </c>
      <c r="G177">
        <v>0</v>
      </c>
      <c r="H177">
        <v>0.13334195777826849</v>
      </c>
      <c r="I177">
        <v>0</v>
      </c>
      <c r="J177">
        <v>0</v>
      </c>
      <c r="K177">
        <v>6.9994825333038885E-2</v>
      </c>
      <c r="L177">
        <v>0</v>
      </c>
      <c r="M177">
        <v>0</v>
      </c>
    </row>
    <row r="178" spans="1:13" x14ac:dyDescent="0.35">
      <c r="A178" s="1">
        <v>43404</v>
      </c>
      <c r="B178">
        <v>0.25157541744050171</v>
      </c>
      <c r="C178">
        <v>0.4</v>
      </c>
      <c r="D178">
        <v>0</v>
      </c>
      <c r="E178">
        <v>0</v>
      </c>
      <c r="F178">
        <v>0</v>
      </c>
      <c r="G178">
        <v>0</v>
      </c>
      <c r="H178">
        <v>0.34842458255949832</v>
      </c>
      <c r="I178">
        <v>0</v>
      </c>
      <c r="J178">
        <v>0</v>
      </c>
      <c r="K178">
        <v>0</v>
      </c>
      <c r="L178">
        <v>0</v>
      </c>
      <c r="M178">
        <v>0</v>
      </c>
    </row>
    <row r="179" spans="1:13" x14ac:dyDescent="0.35">
      <c r="A179" s="1">
        <v>43434</v>
      </c>
      <c r="B179">
        <v>0.26740005834908459</v>
      </c>
      <c r="C179">
        <v>0.4</v>
      </c>
      <c r="D179">
        <v>0</v>
      </c>
      <c r="E179">
        <v>0</v>
      </c>
      <c r="F179">
        <v>0</v>
      </c>
      <c r="G179">
        <v>0</v>
      </c>
      <c r="H179">
        <v>0.33259994165091539</v>
      </c>
      <c r="I179">
        <v>0</v>
      </c>
      <c r="J179">
        <v>0</v>
      </c>
      <c r="K179">
        <v>0</v>
      </c>
      <c r="L179">
        <v>0</v>
      </c>
      <c r="M179">
        <v>0</v>
      </c>
    </row>
    <row r="180" spans="1:13" x14ac:dyDescent="0.35">
      <c r="A180" s="1">
        <v>43465</v>
      </c>
      <c r="B180">
        <v>0.4</v>
      </c>
      <c r="C180">
        <v>0.4</v>
      </c>
      <c r="D180">
        <v>0</v>
      </c>
      <c r="E180">
        <v>0</v>
      </c>
      <c r="F180">
        <v>0</v>
      </c>
      <c r="G180">
        <v>0</v>
      </c>
      <c r="H180">
        <v>0.17897086301369461</v>
      </c>
      <c r="I180">
        <v>0</v>
      </c>
      <c r="J180">
        <v>0</v>
      </c>
      <c r="K180">
        <v>0</v>
      </c>
      <c r="L180">
        <v>2.1029136986305388E-2</v>
      </c>
      <c r="M180">
        <v>0</v>
      </c>
    </row>
    <row r="181" spans="1:13" x14ac:dyDescent="0.35">
      <c r="A181" s="1">
        <v>43496</v>
      </c>
      <c r="B181">
        <v>0.27517737389799068</v>
      </c>
      <c r="C181">
        <v>0.4</v>
      </c>
      <c r="D181">
        <v>0</v>
      </c>
      <c r="E181">
        <v>0</v>
      </c>
      <c r="F181">
        <v>0</v>
      </c>
      <c r="G181">
        <v>0</v>
      </c>
      <c r="H181">
        <v>0.32482262610200929</v>
      </c>
      <c r="I181">
        <v>0</v>
      </c>
      <c r="J181">
        <v>0</v>
      </c>
      <c r="K181">
        <v>0</v>
      </c>
      <c r="L181">
        <v>0</v>
      </c>
      <c r="M181">
        <v>0</v>
      </c>
    </row>
    <row r="182" spans="1:13" x14ac:dyDescent="0.35">
      <c r="A182" s="1">
        <v>43524</v>
      </c>
      <c r="B182">
        <v>0.44993595071873699</v>
      </c>
      <c r="C182">
        <v>0.4</v>
      </c>
      <c r="D182">
        <v>0</v>
      </c>
      <c r="E182">
        <v>0</v>
      </c>
      <c r="F182">
        <v>0</v>
      </c>
      <c r="G182">
        <v>0</v>
      </c>
      <c r="H182">
        <v>0.14990392607810549</v>
      </c>
      <c r="I182">
        <v>0</v>
      </c>
      <c r="J182">
        <v>0</v>
      </c>
      <c r="K182">
        <v>0</v>
      </c>
      <c r="L182">
        <v>1.6012320315740699E-4</v>
      </c>
      <c r="M182">
        <v>0</v>
      </c>
    </row>
    <row r="183" spans="1:13" x14ac:dyDescent="0.35">
      <c r="A183" s="1">
        <v>43555</v>
      </c>
      <c r="B183">
        <v>0.24696983569845379</v>
      </c>
      <c r="C183">
        <v>0.4</v>
      </c>
      <c r="D183">
        <v>0</v>
      </c>
      <c r="E183">
        <v>0</v>
      </c>
      <c r="F183">
        <v>0</v>
      </c>
      <c r="G183">
        <v>0</v>
      </c>
      <c r="H183">
        <v>0.35303016430154621</v>
      </c>
      <c r="I183">
        <v>0</v>
      </c>
      <c r="J183">
        <v>0</v>
      </c>
      <c r="K183">
        <v>0</v>
      </c>
      <c r="L183">
        <v>0</v>
      </c>
      <c r="M183">
        <v>0</v>
      </c>
    </row>
    <row r="184" spans="1:13" x14ac:dyDescent="0.35">
      <c r="A184" s="1">
        <v>43585</v>
      </c>
      <c r="B184">
        <v>0.2463373722477879</v>
      </c>
      <c r="C184">
        <v>0.4</v>
      </c>
      <c r="D184">
        <v>0</v>
      </c>
      <c r="E184">
        <v>0</v>
      </c>
      <c r="F184">
        <v>0</v>
      </c>
      <c r="G184">
        <v>0</v>
      </c>
      <c r="H184">
        <v>0.35366262775221208</v>
      </c>
      <c r="I184">
        <v>0</v>
      </c>
      <c r="J184">
        <v>0</v>
      </c>
      <c r="K184">
        <v>0</v>
      </c>
      <c r="L184">
        <v>0</v>
      </c>
      <c r="M184">
        <v>0</v>
      </c>
    </row>
    <row r="185" spans="1:13" x14ac:dyDescent="0.35">
      <c r="A185" s="1">
        <v>43616</v>
      </c>
      <c r="B185">
        <v>0.24298485819950499</v>
      </c>
      <c r="C185">
        <v>0.4</v>
      </c>
      <c r="D185">
        <v>0</v>
      </c>
      <c r="E185">
        <v>0</v>
      </c>
      <c r="F185">
        <v>0</v>
      </c>
      <c r="G185">
        <v>0</v>
      </c>
      <c r="H185">
        <v>0.35701514180049487</v>
      </c>
      <c r="I185">
        <v>0</v>
      </c>
      <c r="J185">
        <v>0</v>
      </c>
      <c r="K185">
        <v>0</v>
      </c>
      <c r="L185">
        <v>0</v>
      </c>
      <c r="M185">
        <v>0</v>
      </c>
    </row>
    <row r="186" spans="1:13" x14ac:dyDescent="0.35">
      <c r="A186" s="1">
        <v>43646</v>
      </c>
      <c r="B186">
        <v>0.31358866427917498</v>
      </c>
      <c r="C186">
        <v>0.4</v>
      </c>
      <c r="D186">
        <v>0</v>
      </c>
      <c r="E186">
        <v>0</v>
      </c>
      <c r="F186">
        <v>0</v>
      </c>
      <c r="G186">
        <v>0</v>
      </c>
      <c r="H186">
        <v>0.25060991875572181</v>
      </c>
      <c r="I186">
        <v>3.5801416965103118E-2</v>
      </c>
      <c r="J186">
        <v>0</v>
      </c>
      <c r="K186">
        <v>0</v>
      </c>
      <c r="L186">
        <v>0</v>
      </c>
      <c r="M186">
        <v>0</v>
      </c>
    </row>
    <row r="187" spans="1:13" x14ac:dyDescent="0.35">
      <c r="A187" s="1">
        <v>43677</v>
      </c>
      <c r="B187">
        <v>0.20326460910213251</v>
      </c>
      <c r="C187">
        <v>0.4</v>
      </c>
      <c r="D187">
        <v>0</v>
      </c>
      <c r="E187">
        <v>0</v>
      </c>
      <c r="F187">
        <v>0</v>
      </c>
      <c r="G187">
        <v>0</v>
      </c>
      <c r="H187">
        <v>0.39673539089786752</v>
      </c>
      <c r="I187">
        <v>0</v>
      </c>
      <c r="J187">
        <v>0</v>
      </c>
      <c r="K187">
        <v>0</v>
      </c>
      <c r="L187">
        <v>0</v>
      </c>
      <c r="M187">
        <v>0</v>
      </c>
    </row>
    <row r="188" spans="1:13" x14ac:dyDescent="0.35">
      <c r="A188" s="1">
        <v>43708</v>
      </c>
      <c r="B188">
        <v>0.2600912443075471</v>
      </c>
      <c r="C188">
        <v>0.4</v>
      </c>
      <c r="D188">
        <v>0</v>
      </c>
      <c r="E188">
        <v>0</v>
      </c>
      <c r="F188">
        <v>0</v>
      </c>
      <c r="G188">
        <v>0</v>
      </c>
      <c r="H188">
        <v>0.33990875569245288</v>
      </c>
      <c r="I188">
        <v>0</v>
      </c>
      <c r="J188">
        <v>0</v>
      </c>
      <c r="K188">
        <v>0</v>
      </c>
      <c r="L188">
        <v>0</v>
      </c>
      <c r="M188">
        <v>0</v>
      </c>
    </row>
    <row r="189" spans="1:13" x14ac:dyDescent="0.35">
      <c r="A189" s="1">
        <v>43738</v>
      </c>
      <c r="B189">
        <v>0.29446489309462448</v>
      </c>
      <c r="C189">
        <v>0.4</v>
      </c>
      <c r="D189">
        <v>0</v>
      </c>
      <c r="E189">
        <v>0</v>
      </c>
      <c r="F189">
        <v>0</v>
      </c>
      <c r="G189">
        <v>0</v>
      </c>
      <c r="H189">
        <v>0.2673432185422035</v>
      </c>
      <c r="I189">
        <v>3.8191888363171937E-2</v>
      </c>
      <c r="J189">
        <v>0</v>
      </c>
      <c r="K189">
        <v>0</v>
      </c>
      <c r="L189">
        <v>0</v>
      </c>
      <c r="M189">
        <v>0</v>
      </c>
    </row>
    <row r="190" spans="1:13" x14ac:dyDescent="0.35">
      <c r="A190" s="1">
        <v>43769</v>
      </c>
      <c r="B190">
        <v>0.33659029034299559</v>
      </c>
      <c r="C190">
        <v>0.4</v>
      </c>
      <c r="D190">
        <v>0</v>
      </c>
      <c r="E190">
        <v>0</v>
      </c>
      <c r="F190">
        <v>0</v>
      </c>
      <c r="G190">
        <v>0</v>
      </c>
      <c r="H190">
        <v>0.2451145644855065</v>
      </c>
      <c r="I190">
        <v>0</v>
      </c>
      <c r="J190">
        <v>0</v>
      </c>
      <c r="K190">
        <v>1.8295145171497839E-2</v>
      </c>
      <c r="L190">
        <v>0</v>
      </c>
      <c r="M190">
        <v>0</v>
      </c>
    </row>
    <row r="191" spans="1:13" x14ac:dyDescent="0.35">
      <c r="A191" s="1">
        <v>43799</v>
      </c>
      <c r="B191">
        <v>0.27372881175209451</v>
      </c>
      <c r="C191">
        <v>0.4</v>
      </c>
      <c r="D191">
        <v>0</v>
      </c>
      <c r="E191">
        <v>0</v>
      </c>
      <c r="F191">
        <v>0</v>
      </c>
      <c r="G191">
        <v>0</v>
      </c>
      <c r="H191">
        <v>0.32627118824790552</v>
      </c>
      <c r="I191">
        <v>0</v>
      </c>
      <c r="J191">
        <v>0</v>
      </c>
      <c r="K191">
        <v>0</v>
      </c>
      <c r="L191">
        <v>0</v>
      </c>
      <c r="M191">
        <v>0</v>
      </c>
    </row>
    <row r="192" spans="1:13" x14ac:dyDescent="0.35">
      <c r="A192" s="1">
        <v>43830</v>
      </c>
      <c r="B192">
        <v>0.2715156667121621</v>
      </c>
      <c r="C192">
        <v>0.4</v>
      </c>
      <c r="D192">
        <v>0</v>
      </c>
      <c r="E192">
        <v>0</v>
      </c>
      <c r="F192">
        <v>0</v>
      </c>
      <c r="G192">
        <v>0</v>
      </c>
      <c r="H192">
        <v>0.32848433328783788</v>
      </c>
      <c r="I192">
        <v>0</v>
      </c>
      <c r="J192">
        <v>0</v>
      </c>
      <c r="K192">
        <v>0</v>
      </c>
      <c r="L192">
        <v>0</v>
      </c>
      <c r="M192">
        <v>0</v>
      </c>
    </row>
    <row r="193" spans="1:13" x14ac:dyDescent="0.35">
      <c r="A193" s="1">
        <v>43861</v>
      </c>
      <c r="B193">
        <v>0.28439661434565461</v>
      </c>
      <c r="C193">
        <v>0.4</v>
      </c>
      <c r="D193">
        <v>0</v>
      </c>
      <c r="E193">
        <v>0</v>
      </c>
      <c r="F193">
        <v>0</v>
      </c>
      <c r="G193">
        <v>0</v>
      </c>
      <c r="H193">
        <v>0.31560338565434543</v>
      </c>
      <c r="I193">
        <v>0</v>
      </c>
      <c r="J193">
        <v>0</v>
      </c>
      <c r="K193">
        <v>0</v>
      </c>
      <c r="L193">
        <v>0</v>
      </c>
      <c r="M193">
        <v>0</v>
      </c>
    </row>
    <row r="194" spans="1:13" x14ac:dyDescent="0.35">
      <c r="A194" s="1">
        <v>43890</v>
      </c>
      <c r="B194">
        <v>0.23896422180480709</v>
      </c>
      <c r="C194">
        <v>0.4</v>
      </c>
      <c r="D194">
        <v>0</v>
      </c>
      <c r="E194">
        <v>0</v>
      </c>
      <c r="F194">
        <v>0</v>
      </c>
      <c r="G194">
        <v>0</v>
      </c>
      <c r="H194">
        <v>0.36103577819519278</v>
      </c>
      <c r="I194">
        <v>0</v>
      </c>
      <c r="J194">
        <v>0</v>
      </c>
      <c r="K194">
        <v>0</v>
      </c>
      <c r="L194">
        <v>0</v>
      </c>
      <c r="M194">
        <v>0</v>
      </c>
    </row>
    <row r="195" spans="1:13" x14ac:dyDescent="0.35">
      <c r="A195" s="1">
        <v>43921</v>
      </c>
      <c r="B195">
        <v>0.32286632754438022</v>
      </c>
      <c r="C195">
        <v>0.4</v>
      </c>
      <c r="D195">
        <v>0</v>
      </c>
      <c r="E195">
        <v>0</v>
      </c>
      <c r="F195">
        <v>0</v>
      </c>
      <c r="G195">
        <v>0</v>
      </c>
      <c r="H195">
        <v>0.27713367245561982</v>
      </c>
      <c r="I195">
        <v>0</v>
      </c>
      <c r="J195">
        <v>0</v>
      </c>
      <c r="K195">
        <v>0</v>
      </c>
      <c r="L195">
        <v>0</v>
      </c>
      <c r="M195">
        <v>0</v>
      </c>
    </row>
    <row r="196" spans="1:13" x14ac:dyDescent="0.35">
      <c r="A196" s="1">
        <v>43951</v>
      </c>
      <c r="B196">
        <v>0.40673665581400231</v>
      </c>
      <c r="C196">
        <v>0.4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0.19326334418599769</v>
      </c>
    </row>
    <row r="197" spans="1:13" x14ac:dyDescent="0.35">
      <c r="A197" s="1">
        <v>43982</v>
      </c>
      <c r="B197">
        <v>0.20841870114723471</v>
      </c>
      <c r="C197">
        <v>0.4</v>
      </c>
      <c r="D197">
        <v>0</v>
      </c>
      <c r="E197">
        <v>0</v>
      </c>
      <c r="F197">
        <v>0</v>
      </c>
      <c r="G197">
        <v>0</v>
      </c>
      <c r="H197">
        <v>0.39158129885276532</v>
      </c>
      <c r="I197">
        <v>0</v>
      </c>
      <c r="J197">
        <v>0</v>
      </c>
      <c r="K197">
        <v>0</v>
      </c>
      <c r="L197">
        <v>0</v>
      </c>
      <c r="M197">
        <v>0</v>
      </c>
    </row>
    <row r="198" spans="1:13" x14ac:dyDescent="0.35">
      <c r="A198" s="1">
        <v>44012</v>
      </c>
      <c r="B198">
        <v>0.27732377379998019</v>
      </c>
      <c r="C198">
        <v>0.4</v>
      </c>
      <c r="D198">
        <v>0</v>
      </c>
      <c r="E198">
        <v>0</v>
      </c>
      <c r="F198">
        <v>0</v>
      </c>
      <c r="G198">
        <v>0</v>
      </c>
      <c r="H198">
        <v>0.32267622620001979</v>
      </c>
      <c r="I198">
        <v>0</v>
      </c>
      <c r="J198">
        <v>0</v>
      </c>
      <c r="K198">
        <v>0</v>
      </c>
      <c r="L198">
        <v>0</v>
      </c>
      <c r="M198">
        <v>0</v>
      </c>
    </row>
    <row r="199" spans="1:13" x14ac:dyDescent="0.35">
      <c r="A199" s="1">
        <v>44043</v>
      </c>
      <c r="B199">
        <v>0.30584774390872282</v>
      </c>
      <c r="C199">
        <v>0.4</v>
      </c>
      <c r="D199">
        <v>0</v>
      </c>
      <c r="E199">
        <v>0</v>
      </c>
      <c r="F199">
        <v>0</v>
      </c>
      <c r="G199">
        <v>0</v>
      </c>
      <c r="H199">
        <v>0.29415225609127721</v>
      </c>
      <c r="I199">
        <v>0</v>
      </c>
      <c r="J199">
        <v>0</v>
      </c>
      <c r="K199">
        <v>0</v>
      </c>
      <c r="L199">
        <v>0</v>
      </c>
      <c r="M199">
        <v>0</v>
      </c>
    </row>
    <row r="200" spans="1:13" x14ac:dyDescent="0.35">
      <c r="A200" s="1">
        <v>44074</v>
      </c>
      <c r="B200">
        <v>0.2434640295407712</v>
      </c>
      <c r="C200">
        <v>0.4</v>
      </c>
      <c r="D200">
        <v>0</v>
      </c>
      <c r="E200">
        <v>0</v>
      </c>
      <c r="F200">
        <v>0</v>
      </c>
      <c r="G200">
        <v>0</v>
      </c>
      <c r="H200">
        <v>0.3565359704592288</v>
      </c>
      <c r="I200">
        <v>0</v>
      </c>
      <c r="J200">
        <v>0</v>
      </c>
      <c r="K200">
        <v>0</v>
      </c>
      <c r="L200">
        <v>0</v>
      </c>
      <c r="M200">
        <v>0</v>
      </c>
    </row>
    <row r="201" spans="1:13" x14ac:dyDescent="0.35">
      <c r="A201" s="1">
        <v>44104</v>
      </c>
      <c r="B201">
        <v>0.2413732248788045</v>
      </c>
      <c r="C201">
        <v>0.4</v>
      </c>
      <c r="D201">
        <v>0</v>
      </c>
      <c r="E201">
        <v>0</v>
      </c>
      <c r="F201">
        <v>0</v>
      </c>
      <c r="G201">
        <v>0</v>
      </c>
      <c r="H201">
        <v>0.35862677512119551</v>
      </c>
      <c r="I201">
        <v>0</v>
      </c>
      <c r="J201">
        <v>0</v>
      </c>
      <c r="K201">
        <v>0</v>
      </c>
      <c r="L201">
        <v>0</v>
      </c>
      <c r="M201">
        <v>0</v>
      </c>
    </row>
    <row r="202" spans="1:13" x14ac:dyDescent="0.35">
      <c r="A202" s="1">
        <v>44135</v>
      </c>
      <c r="B202">
        <v>0.21786546531652479</v>
      </c>
      <c r="C202">
        <v>0.4</v>
      </c>
      <c r="D202">
        <v>0</v>
      </c>
      <c r="E202">
        <v>0</v>
      </c>
      <c r="F202">
        <v>0</v>
      </c>
      <c r="G202">
        <v>0</v>
      </c>
      <c r="H202">
        <v>0.38213453468347508</v>
      </c>
      <c r="I202">
        <v>0</v>
      </c>
      <c r="J202">
        <v>0</v>
      </c>
      <c r="K202">
        <v>0</v>
      </c>
      <c r="L202">
        <v>0</v>
      </c>
      <c r="M202">
        <v>0</v>
      </c>
    </row>
    <row r="203" spans="1:13" x14ac:dyDescent="0.35">
      <c r="A203" s="1">
        <v>44165</v>
      </c>
      <c r="B203">
        <v>0.23563786738799861</v>
      </c>
      <c r="C203">
        <v>0.4</v>
      </c>
      <c r="D203">
        <v>0</v>
      </c>
      <c r="E203">
        <v>0</v>
      </c>
      <c r="F203">
        <v>0</v>
      </c>
      <c r="G203">
        <v>0</v>
      </c>
      <c r="H203">
        <v>0.36436213261200129</v>
      </c>
      <c r="I203">
        <v>0</v>
      </c>
      <c r="J203">
        <v>0</v>
      </c>
      <c r="K203">
        <v>0</v>
      </c>
      <c r="L203">
        <v>0</v>
      </c>
      <c r="M203">
        <v>0</v>
      </c>
    </row>
    <row r="204" spans="1:13" x14ac:dyDescent="0.35">
      <c r="A204" s="1">
        <v>44196</v>
      </c>
      <c r="B204">
        <v>0.21942036234632181</v>
      </c>
      <c r="C204">
        <v>0.4</v>
      </c>
      <c r="D204">
        <v>0</v>
      </c>
      <c r="E204">
        <v>0</v>
      </c>
      <c r="F204">
        <v>0</v>
      </c>
      <c r="G204">
        <v>0</v>
      </c>
      <c r="H204">
        <v>0.38057963765367808</v>
      </c>
      <c r="I204">
        <v>0</v>
      </c>
      <c r="J204">
        <v>0</v>
      </c>
      <c r="K204">
        <v>0</v>
      </c>
      <c r="L204">
        <v>0</v>
      </c>
      <c r="M204">
        <v>0</v>
      </c>
    </row>
    <row r="205" spans="1:13" x14ac:dyDescent="0.35">
      <c r="A205" s="1">
        <v>44227</v>
      </c>
      <c r="B205">
        <v>0.2431277888888104</v>
      </c>
      <c r="C205">
        <v>0.4</v>
      </c>
      <c r="D205">
        <v>0</v>
      </c>
      <c r="E205">
        <v>0</v>
      </c>
      <c r="F205">
        <v>0</v>
      </c>
      <c r="G205">
        <v>0</v>
      </c>
      <c r="H205">
        <v>0.35687221111118961</v>
      </c>
      <c r="I205">
        <v>0</v>
      </c>
      <c r="J205">
        <v>0</v>
      </c>
      <c r="K205">
        <v>0</v>
      </c>
      <c r="L205">
        <v>0</v>
      </c>
      <c r="M205">
        <v>0</v>
      </c>
    </row>
    <row r="206" spans="1:13" x14ac:dyDescent="0.35">
      <c r="A206" s="1">
        <v>44255</v>
      </c>
      <c r="B206">
        <v>0.22042616071534121</v>
      </c>
      <c r="C206">
        <v>0.4</v>
      </c>
      <c r="D206">
        <v>0</v>
      </c>
      <c r="E206">
        <v>0</v>
      </c>
      <c r="F206">
        <v>0</v>
      </c>
      <c r="G206">
        <v>0</v>
      </c>
      <c r="H206">
        <v>0.37957383928465882</v>
      </c>
      <c r="I206">
        <v>0</v>
      </c>
      <c r="J206">
        <v>0</v>
      </c>
      <c r="K206">
        <v>0</v>
      </c>
      <c r="L206">
        <v>0</v>
      </c>
      <c r="M206">
        <v>0</v>
      </c>
    </row>
    <row r="207" spans="1:13" x14ac:dyDescent="0.35">
      <c r="A207" s="1">
        <v>44286</v>
      </c>
      <c r="B207">
        <v>0.2224889876845661</v>
      </c>
      <c r="C207">
        <v>0.4</v>
      </c>
      <c r="D207">
        <v>0</v>
      </c>
      <c r="E207">
        <v>0</v>
      </c>
      <c r="F207">
        <v>0</v>
      </c>
      <c r="G207">
        <v>0</v>
      </c>
      <c r="H207">
        <v>0.37751101231543388</v>
      </c>
      <c r="I207">
        <v>0</v>
      </c>
      <c r="J207">
        <v>0</v>
      </c>
      <c r="K207">
        <v>0</v>
      </c>
      <c r="L207">
        <v>0</v>
      </c>
      <c r="M207">
        <v>0</v>
      </c>
    </row>
    <row r="208" spans="1:13" x14ac:dyDescent="0.35">
      <c r="A208" s="1">
        <v>44316</v>
      </c>
      <c r="B208">
        <v>0.220759903287751</v>
      </c>
      <c r="C208">
        <v>0.4</v>
      </c>
      <c r="D208">
        <v>0</v>
      </c>
      <c r="E208">
        <v>0</v>
      </c>
      <c r="F208">
        <v>0</v>
      </c>
      <c r="G208">
        <v>0</v>
      </c>
      <c r="H208">
        <v>0.37924009671224901</v>
      </c>
      <c r="I208">
        <v>0</v>
      </c>
      <c r="J208">
        <v>0</v>
      </c>
      <c r="K208">
        <v>0</v>
      </c>
      <c r="L208">
        <v>0</v>
      </c>
      <c r="M208">
        <v>0</v>
      </c>
    </row>
    <row r="209" spans="1:13" x14ac:dyDescent="0.35">
      <c r="A209" s="1">
        <v>44347</v>
      </c>
      <c r="B209">
        <v>0.22016880997341681</v>
      </c>
      <c r="C209">
        <v>0.4</v>
      </c>
      <c r="D209">
        <v>0</v>
      </c>
      <c r="E209">
        <v>0</v>
      </c>
      <c r="F209">
        <v>0</v>
      </c>
      <c r="G209">
        <v>0</v>
      </c>
      <c r="H209">
        <v>0.37983119002658322</v>
      </c>
      <c r="I209">
        <v>0</v>
      </c>
      <c r="J209">
        <v>0</v>
      </c>
      <c r="K209">
        <v>0</v>
      </c>
      <c r="L209">
        <v>0</v>
      </c>
      <c r="M209">
        <v>0</v>
      </c>
    </row>
    <row r="210" spans="1:13" x14ac:dyDescent="0.35">
      <c r="A210" s="1">
        <v>44377</v>
      </c>
      <c r="B210">
        <v>0.22026943753880071</v>
      </c>
      <c r="C210">
        <v>0.4</v>
      </c>
      <c r="D210">
        <v>0</v>
      </c>
      <c r="E210">
        <v>0</v>
      </c>
      <c r="F210">
        <v>0</v>
      </c>
      <c r="G210">
        <v>0</v>
      </c>
      <c r="H210">
        <v>0.37973056246119929</v>
      </c>
      <c r="I210">
        <v>0</v>
      </c>
      <c r="J210">
        <v>0</v>
      </c>
      <c r="K210">
        <v>0</v>
      </c>
      <c r="L210">
        <v>0</v>
      </c>
      <c r="M210">
        <v>0</v>
      </c>
    </row>
    <row r="211" spans="1:13" x14ac:dyDescent="0.35">
      <c r="A211" s="1">
        <v>44408</v>
      </c>
      <c r="B211">
        <v>0.22086897225579491</v>
      </c>
      <c r="C211">
        <v>0.4</v>
      </c>
      <c r="D211">
        <v>0</v>
      </c>
      <c r="E211">
        <v>0</v>
      </c>
      <c r="F211">
        <v>0</v>
      </c>
      <c r="G211">
        <v>0</v>
      </c>
      <c r="H211">
        <v>0.37913102774420498</v>
      </c>
      <c r="I211">
        <v>0</v>
      </c>
      <c r="J211">
        <v>0</v>
      </c>
      <c r="K211">
        <v>0</v>
      </c>
      <c r="L211">
        <v>0</v>
      </c>
      <c r="M211">
        <v>0</v>
      </c>
    </row>
    <row r="212" spans="1:13" x14ac:dyDescent="0.35">
      <c r="A212" s="1">
        <v>44439</v>
      </c>
      <c r="B212">
        <v>0.22043362673437281</v>
      </c>
      <c r="C212">
        <v>0.4</v>
      </c>
      <c r="D212">
        <v>0</v>
      </c>
      <c r="E212">
        <v>0</v>
      </c>
      <c r="F212">
        <v>0</v>
      </c>
      <c r="G212">
        <v>0</v>
      </c>
      <c r="H212">
        <v>0.37956637326562709</v>
      </c>
      <c r="I212">
        <v>0</v>
      </c>
      <c r="J212">
        <v>0</v>
      </c>
      <c r="K212">
        <v>0</v>
      </c>
      <c r="L212">
        <v>0</v>
      </c>
      <c r="M212">
        <v>0</v>
      </c>
    </row>
    <row r="213" spans="1:13" x14ac:dyDescent="0.35">
      <c r="A213" s="1">
        <v>44469</v>
      </c>
      <c r="B213">
        <v>0.22088873405558221</v>
      </c>
      <c r="C213">
        <v>0.4</v>
      </c>
      <c r="D213">
        <v>0</v>
      </c>
      <c r="E213">
        <v>0</v>
      </c>
      <c r="F213">
        <v>0</v>
      </c>
      <c r="G213">
        <v>0</v>
      </c>
      <c r="H213">
        <v>0.37911126594441769</v>
      </c>
      <c r="I213">
        <v>0</v>
      </c>
      <c r="J213">
        <v>0</v>
      </c>
      <c r="K213">
        <v>0</v>
      </c>
      <c r="L213">
        <v>0</v>
      </c>
      <c r="M213">
        <v>0</v>
      </c>
    </row>
    <row r="214" spans="1:13" x14ac:dyDescent="0.35">
      <c r="A214" s="1">
        <v>44500</v>
      </c>
      <c r="B214">
        <v>0.21988522370033761</v>
      </c>
      <c r="C214">
        <v>0.4</v>
      </c>
      <c r="D214">
        <v>0</v>
      </c>
      <c r="E214">
        <v>0</v>
      </c>
      <c r="F214">
        <v>0</v>
      </c>
      <c r="G214">
        <v>0</v>
      </c>
      <c r="H214">
        <v>0.38011477629966228</v>
      </c>
      <c r="I214">
        <v>0</v>
      </c>
      <c r="J214">
        <v>0</v>
      </c>
      <c r="K214">
        <v>0</v>
      </c>
      <c r="L214">
        <v>0</v>
      </c>
      <c r="M214">
        <v>0</v>
      </c>
    </row>
    <row r="215" spans="1:13" x14ac:dyDescent="0.35">
      <c r="A215" s="1">
        <v>44530</v>
      </c>
      <c r="B215">
        <v>0.21924772369848919</v>
      </c>
      <c r="C215">
        <v>0.4</v>
      </c>
      <c r="D215">
        <v>0</v>
      </c>
      <c r="E215">
        <v>0</v>
      </c>
      <c r="F215">
        <v>0</v>
      </c>
      <c r="G215">
        <v>0</v>
      </c>
      <c r="H215">
        <v>0.38075227630151082</v>
      </c>
      <c r="I215">
        <v>0</v>
      </c>
      <c r="J215">
        <v>0</v>
      </c>
      <c r="K215">
        <v>0</v>
      </c>
      <c r="L215">
        <v>0</v>
      </c>
      <c r="M215">
        <v>0</v>
      </c>
    </row>
    <row r="216" spans="1:13" x14ac:dyDescent="0.35">
      <c r="A216" s="1">
        <v>44561</v>
      </c>
      <c r="B216">
        <v>0.23719539945499721</v>
      </c>
      <c r="C216">
        <v>0.4</v>
      </c>
      <c r="D216">
        <v>0</v>
      </c>
      <c r="E216">
        <v>0</v>
      </c>
      <c r="F216">
        <v>0</v>
      </c>
      <c r="G216">
        <v>0</v>
      </c>
      <c r="H216">
        <v>0.3628046005450028</v>
      </c>
      <c r="I216">
        <v>0</v>
      </c>
      <c r="J216">
        <v>0</v>
      </c>
      <c r="K216">
        <v>0</v>
      </c>
      <c r="L216">
        <v>0</v>
      </c>
      <c r="M216">
        <v>0</v>
      </c>
    </row>
    <row r="217" spans="1:13" x14ac:dyDescent="0.35">
      <c r="A217" s="1">
        <v>44592</v>
      </c>
      <c r="B217">
        <v>0.24262634670952571</v>
      </c>
      <c r="C217">
        <v>0.4</v>
      </c>
      <c r="D217">
        <v>0</v>
      </c>
      <c r="E217">
        <v>0</v>
      </c>
      <c r="F217">
        <v>0</v>
      </c>
      <c r="G217">
        <v>0</v>
      </c>
      <c r="H217">
        <v>0.35737365329047432</v>
      </c>
      <c r="I217">
        <v>0</v>
      </c>
      <c r="J217">
        <v>0</v>
      </c>
      <c r="K217">
        <v>0</v>
      </c>
      <c r="L217">
        <v>0</v>
      </c>
      <c r="M217">
        <v>0</v>
      </c>
    </row>
    <row r="218" spans="1:13" x14ac:dyDescent="0.35">
      <c r="A218" s="1">
        <v>44620</v>
      </c>
      <c r="B218">
        <v>0.2001404935889817</v>
      </c>
      <c r="C218">
        <v>0.4</v>
      </c>
      <c r="D218">
        <v>0</v>
      </c>
      <c r="E218">
        <v>0</v>
      </c>
      <c r="F218">
        <v>0</v>
      </c>
      <c r="G218">
        <v>0</v>
      </c>
      <c r="H218">
        <v>0.39985950641101831</v>
      </c>
      <c r="I218">
        <v>0</v>
      </c>
      <c r="J218">
        <v>0</v>
      </c>
      <c r="K218">
        <v>0</v>
      </c>
      <c r="L218">
        <v>0</v>
      </c>
      <c r="M218">
        <v>0</v>
      </c>
    </row>
    <row r="219" spans="1:13" x14ac:dyDescent="0.35">
      <c r="A219" s="1">
        <v>44651</v>
      </c>
      <c r="B219">
        <v>0.23517616744100531</v>
      </c>
      <c r="C219">
        <v>0.4</v>
      </c>
      <c r="D219">
        <v>0</v>
      </c>
      <c r="E219">
        <v>0</v>
      </c>
      <c r="F219">
        <v>0</v>
      </c>
      <c r="G219">
        <v>0</v>
      </c>
      <c r="H219">
        <v>0.3648238325589947</v>
      </c>
      <c r="I219">
        <v>0</v>
      </c>
      <c r="J219">
        <v>0</v>
      </c>
      <c r="K219">
        <v>0</v>
      </c>
      <c r="L219">
        <v>0</v>
      </c>
      <c r="M219">
        <v>0</v>
      </c>
    </row>
    <row r="220" spans="1:13" x14ac:dyDescent="0.35">
      <c r="A220" s="1">
        <v>44681</v>
      </c>
      <c r="B220">
        <v>0.2281231175604827</v>
      </c>
      <c r="C220">
        <v>0.4</v>
      </c>
      <c r="D220">
        <v>0</v>
      </c>
      <c r="E220">
        <v>0</v>
      </c>
      <c r="F220">
        <v>0</v>
      </c>
      <c r="G220">
        <v>0</v>
      </c>
      <c r="H220">
        <v>0.37187688243951728</v>
      </c>
      <c r="I220">
        <v>0</v>
      </c>
      <c r="J220">
        <v>0</v>
      </c>
      <c r="K220">
        <v>0</v>
      </c>
      <c r="L220">
        <v>0</v>
      </c>
      <c r="M220">
        <v>0</v>
      </c>
    </row>
    <row r="221" spans="1:13" x14ac:dyDescent="0.35">
      <c r="A221" s="1">
        <v>44712</v>
      </c>
      <c r="B221">
        <v>0.26679691384509918</v>
      </c>
      <c r="C221">
        <v>0.4</v>
      </c>
      <c r="D221">
        <v>0</v>
      </c>
      <c r="E221">
        <v>0</v>
      </c>
      <c r="F221">
        <v>0</v>
      </c>
      <c r="G221">
        <v>0</v>
      </c>
      <c r="H221">
        <v>0.3332030861549008</v>
      </c>
      <c r="I221">
        <v>0</v>
      </c>
      <c r="J221">
        <v>0</v>
      </c>
      <c r="K221">
        <v>0</v>
      </c>
      <c r="L221">
        <v>0</v>
      </c>
      <c r="M221">
        <v>0</v>
      </c>
    </row>
    <row r="222" spans="1:13" x14ac:dyDescent="0.35">
      <c r="A222" s="1">
        <v>44742</v>
      </c>
      <c r="B222">
        <v>0.24415894424189671</v>
      </c>
      <c r="C222">
        <v>0.4</v>
      </c>
      <c r="D222">
        <v>0</v>
      </c>
      <c r="E222">
        <v>0</v>
      </c>
      <c r="F222">
        <v>0</v>
      </c>
      <c r="G222">
        <v>0</v>
      </c>
      <c r="H222">
        <v>0.35584105575810332</v>
      </c>
      <c r="I222">
        <v>0</v>
      </c>
      <c r="J222">
        <v>0</v>
      </c>
      <c r="K222">
        <v>0</v>
      </c>
      <c r="L222">
        <v>0</v>
      </c>
      <c r="M222">
        <v>0</v>
      </c>
    </row>
    <row r="223" spans="1:13" x14ac:dyDescent="0.35">
      <c r="A223" s="1">
        <v>44773</v>
      </c>
      <c r="B223">
        <v>0.37810238091805182</v>
      </c>
      <c r="C223">
        <v>0.4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0.22189761908194819</v>
      </c>
    </row>
    <row r="224" spans="1:13" x14ac:dyDescent="0.35">
      <c r="A224" s="1">
        <v>44804</v>
      </c>
      <c r="B224">
        <v>0.2150670257463477</v>
      </c>
      <c r="C224">
        <v>0.4</v>
      </c>
      <c r="D224">
        <v>0</v>
      </c>
      <c r="E224">
        <v>0</v>
      </c>
      <c r="F224">
        <v>0</v>
      </c>
      <c r="G224">
        <v>0</v>
      </c>
      <c r="H224">
        <v>0.38493297425365219</v>
      </c>
      <c r="I224">
        <v>0</v>
      </c>
      <c r="J224">
        <v>0</v>
      </c>
      <c r="K224">
        <v>0</v>
      </c>
      <c r="L224">
        <v>0</v>
      </c>
      <c r="M224">
        <v>0</v>
      </c>
    </row>
    <row r="225" spans="1:13" x14ac:dyDescent="0.35">
      <c r="A225" s="1">
        <v>44834</v>
      </c>
      <c r="B225">
        <v>0.22481438866853659</v>
      </c>
      <c r="C225">
        <v>0.4</v>
      </c>
      <c r="D225">
        <v>0</v>
      </c>
      <c r="E225">
        <v>4.6898201416432923E-2</v>
      </c>
      <c r="F225">
        <v>0</v>
      </c>
      <c r="G225">
        <v>0</v>
      </c>
      <c r="H225">
        <v>0.32828740991503041</v>
      </c>
      <c r="I225">
        <v>0</v>
      </c>
      <c r="J225">
        <v>0</v>
      </c>
      <c r="K225">
        <v>0</v>
      </c>
      <c r="L225">
        <v>0</v>
      </c>
      <c r="M225">
        <v>0</v>
      </c>
    </row>
    <row r="226" spans="1:13" x14ac:dyDescent="0.35">
      <c r="A226" s="1">
        <v>44865</v>
      </c>
      <c r="B226">
        <v>0.2011358629084023</v>
      </c>
      <c r="C226">
        <v>0.4</v>
      </c>
      <c r="D226">
        <v>0</v>
      </c>
      <c r="E226">
        <v>9.971603427289942E-2</v>
      </c>
      <c r="F226">
        <v>0</v>
      </c>
      <c r="G226">
        <v>0</v>
      </c>
      <c r="H226">
        <v>0.29914810281869819</v>
      </c>
      <c r="I226">
        <v>0</v>
      </c>
      <c r="J226">
        <v>0</v>
      </c>
      <c r="K226">
        <v>0</v>
      </c>
      <c r="L226">
        <v>0</v>
      </c>
      <c r="M226">
        <v>0</v>
      </c>
    </row>
    <row r="227" spans="1:13" x14ac:dyDescent="0.35">
      <c r="A227" s="1">
        <v>44895</v>
      </c>
      <c r="B227">
        <v>0.20690130592633579</v>
      </c>
      <c r="C227">
        <v>0.4</v>
      </c>
      <c r="D227">
        <v>0</v>
      </c>
      <c r="E227">
        <v>0.14741201027762399</v>
      </c>
      <c r="F227">
        <v>0</v>
      </c>
      <c r="G227">
        <v>0</v>
      </c>
      <c r="H227">
        <v>0.24568668379604011</v>
      </c>
      <c r="I227">
        <v>0</v>
      </c>
      <c r="J227">
        <v>0</v>
      </c>
      <c r="K227">
        <v>0</v>
      </c>
      <c r="L227">
        <v>0</v>
      </c>
      <c r="M227">
        <v>0</v>
      </c>
    </row>
    <row r="228" spans="1:13" x14ac:dyDescent="0.35">
      <c r="A228" s="1">
        <v>44926</v>
      </c>
      <c r="B228">
        <v>0.36021390190958308</v>
      </c>
      <c r="C228">
        <v>0.4</v>
      </c>
      <c r="D228">
        <v>0</v>
      </c>
      <c r="E228">
        <v>0</v>
      </c>
      <c r="F228">
        <v>0</v>
      </c>
      <c r="G228">
        <v>0</v>
      </c>
      <c r="H228">
        <v>0.22446524522604219</v>
      </c>
      <c r="I228">
        <v>0</v>
      </c>
      <c r="J228">
        <v>0</v>
      </c>
      <c r="K228">
        <v>1.53208528643747E-2</v>
      </c>
      <c r="L228">
        <v>0</v>
      </c>
      <c r="M228">
        <v>0</v>
      </c>
    </row>
    <row r="229" spans="1:13" x14ac:dyDescent="0.35">
      <c r="A229" s="1">
        <v>44957</v>
      </c>
      <c r="B229">
        <v>0.26167866903403869</v>
      </c>
      <c r="C229">
        <v>0.4</v>
      </c>
      <c r="D229">
        <v>0</v>
      </c>
      <c r="E229">
        <v>0.16916066548298059</v>
      </c>
      <c r="F229">
        <v>0</v>
      </c>
      <c r="G229">
        <v>0</v>
      </c>
      <c r="H229">
        <v>0.16916066548298059</v>
      </c>
      <c r="I229">
        <v>0</v>
      </c>
      <c r="J229">
        <v>0</v>
      </c>
      <c r="K229">
        <v>0</v>
      </c>
      <c r="L229">
        <v>0</v>
      </c>
      <c r="M229">
        <v>0</v>
      </c>
    </row>
    <row r="230" spans="1:13" x14ac:dyDescent="0.35">
      <c r="A230" s="1">
        <v>44985</v>
      </c>
      <c r="B230">
        <v>0.28930593362803508</v>
      </c>
      <c r="C230">
        <v>0.4</v>
      </c>
      <c r="D230">
        <v>0</v>
      </c>
      <c r="E230">
        <v>0</v>
      </c>
      <c r="F230">
        <v>0</v>
      </c>
      <c r="G230">
        <v>0</v>
      </c>
      <c r="H230">
        <v>0.31069406637196489</v>
      </c>
      <c r="I230">
        <v>0</v>
      </c>
      <c r="J230">
        <v>0</v>
      </c>
      <c r="K230">
        <v>0</v>
      </c>
      <c r="L230">
        <v>0</v>
      </c>
      <c r="M230">
        <v>0</v>
      </c>
    </row>
    <row r="231" spans="1:13" x14ac:dyDescent="0.35">
      <c r="A231" s="1">
        <v>45016</v>
      </c>
      <c r="B231">
        <v>0.2305897489688831</v>
      </c>
      <c r="C231">
        <v>0.4</v>
      </c>
      <c r="D231">
        <v>0</v>
      </c>
      <c r="E231">
        <v>4.6176281378889621E-2</v>
      </c>
      <c r="F231">
        <v>0</v>
      </c>
      <c r="G231">
        <v>0</v>
      </c>
      <c r="H231">
        <v>0.32323396965222728</v>
      </c>
      <c r="I231">
        <v>0</v>
      </c>
      <c r="J231">
        <v>0</v>
      </c>
      <c r="K231">
        <v>0</v>
      </c>
      <c r="L231">
        <v>0</v>
      </c>
      <c r="M231">
        <v>0</v>
      </c>
    </row>
    <row r="232" spans="1:13" x14ac:dyDescent="0.35">
      <c r="A232" s="1">
        <v>45046</v>
      </c>
      <c r="B232">
        <v>0.2226084164346239</v>
      </c>
      <c r="C232">
        <v>0.4</v>
      </c>
      <c r="D232">
        <v>0</v>
      </c>
      <c r="E232">
        <v>0</v>
      </c>
      <c r="F232">
        <v>0</v>
      </c>
      <c r="G232">
        <v>0</v>
      </c>
      <c r="H232">
        <v>0.37739158356537611</v>
      </c>
      <c r="I232">
        <v>0</v>
      </c>
      <c r="J232">
        <v>0</v>
      </c>
      <c r="K232">
        <v>0</v>
      </c>
      <c r="L232">
        <v>0</v>
      </c>
      <c r="M232">
        <v>0</v>
      </c>
    </row>
    <row r="233" spans="1:13" x14ac:dyDescent="0.35">
      <c r="A233" s="1">
        <v>45077</v>
      </c>
      <c r="B233">
        <v>0.36373466291738332</v>
      </c>
      <c r="C233">
        <v>0.4</v>
      </c>
      <c r="D233">
        <v>0</v>
      </c>
      <c r="E233">
        <v>0</v>
      </c>
      <c r="F233">
        <v>0</v>
      </c>
      <c r="G233">
        <v>0</v>
      </c>
      <c r="H233">
        <v>0.21566334270654169</v>
      </c>
      <c r="I233">
        <v>0</v>
      </c>
      <c r="J233">
        <v>0</v>
      </c>
      <c r="K233">
        <v>2.0601994376074989E-2</v>
      </c>
      <c r="L233">
        <v>0</v>
      </c>
      <c r="M233">
        <v>0</v>
      </c>
    </row>
    <row r="234" spans="1:13" x14ac:dyDescent="0.35">
      <c r="A234" s="1">
        <v>45107</v>
      </c>
      <c r="B234">
        <v>0.32617031634176019</v>
      </c>
      <c r="C234">
        <v>0.4</v>
      </c>
      <c r="D234">
        <v>0</v>
      </c>
      <c r="E234">
        <v>0</v>
      </c>
      <c r="F234">
        <v>0</v>
      </c>
      <c r="G234">
        <v>0</v>
      </c>
      <c r="H234">
        <v>0.26074452548735971</v>
      </c>
      <c r="I234">
        <v>0</v>
      </c>
      <c r="J234">
        <v>0</v>
      </c>
      <c r="K234">
        <v>1.30851581708801E-2</v>
      </c>
      <c r="L234">
        <v>0</v>
      </c>
      <c r="M234">
        <v>0</v>
      </c>
    </row>
    <row r="235" spans="1:13" x14ac:dyDescent="0.35">
      <c r="A235" s="1">
        <v>45138</v>
      </c>
      <c r="B235">
        <v>0.22285431943410941</v>
      </c>
      <c r="C235">
        <v>0.4</v>
      </c>
      <c r="D235">
        <v>0</v>
      </c>
      <c r="E235">
        <v>0</v>
      </c>
      <c r="F235">
        <v>0</v>
      </c>
      <c r="G235">
        <v>0</v>
      </c>
      <c r="H235">
        <v>0.3771456805658906</v>
      </c>
      <c r="I235">
        <v>0</v>
      </c>
      <c r="J235">
        <v>0</v>
      </c>
      <c r="K235">
        <v>0</v>
      </c>
      <c r="L235">
        <v>0</v>
      </c>
      <c r="M235">
        <v>0</v>
      </c>
    </row>
    <row r="236" spans="1:13" x14ac:dyDescent="0.35">
      <c r="A236" s="1">
        <v>45169</v>
      </c>
      <c r="B236">
        <v>0.22785451495511461</v>
      </c>
      <c r="C236">
        <v>0.4</v>
      </c>
      <c r="D236">
        <v>0</v>
      </c>
      <c r="E236">
        <v>0</v>
      </c>
      <c r="F236">
        <v>0</v>
      </c>
      <c r="G236">
        <v>0</v>
      </c>
      <c r="H236">
        <v>0.37214548504488543</v>
      </c>
      <c r="I236">
        <v>0</v>
      </c>
      <c r="J236">
        <v>0</v>
      </c>
      <c r="K236">
        <v>0</v>
      </c>
      <c r="L236">
        <v>0</v>
      </c>
      <c r="M236">
        <v>0</v>
      </c>
    </row>
    <row r="237" spans="1:13" x14ac:dyDescent="0.35">
      <c r="A237" s="1">
        <v>45199</v>
      </c>
      <c r="B237">
        <v>0.25800987899774769</v>
      </c>
      <c r="C237">
        <v>0.4</v>
      </c>
      <c r="D237">
        <v>0</v>
      </c>
      <c r="E237">
        <v>8.5497530250563072E-2</v>
      </c>
      <c r="F237">
        <v>0</v>
      </c>
      <c r="G237">
        <v>0</v>
      </c>
      <c r="H237">
        <v>0.25649259075168918</v>
      </c>
      <c r="I237">
        <v>0</v>
      </c>
      <c r="J237">
        <v>0</v>
      </c>
      <c r="K237">
        <v>0</v>
      </c>
      <c r="L237">
        <v>0</v>
      </c>
      <c r="M237">
        <v>0</v>
      </c>
    </row>
    <row r="238" spans="1:13" x14ac:dyDescent="0.35">
      <c r="A238" s="1">
        <v>45230</v>
      </c>
      <c r="B238">
        <v>0.230362731594937</v>
      </c>
      <c r="C238">
        <v>0.4</v>
      </c>
      <c r="D238">
        <v>0</v>
      </c>
      <c r="E238">
        <v>4.6204658550632882E-2</v>
      </c>
      <c r="F238">
        <v>0</v>
      </c>
      <c r="G238">
        <v>0</v>
      </c>
      <c r="H238">
        <v>0.32343260985443012</v>
      </c>
      <c r="I238">
        <v>0</v>
      </c>
      <c r="J238">
        <v>0</v>
      </c>
      <c r="K238">
        <v>0</v>
      </c>
      <c r="L238">
        <v>0</v>
      </c>
      <c r="M238">
        <v>0</v>
      </c>
    </row>
    <row r="239" spans="1:13" x14ac:dyDescent="0.35">
      <c r="A239" s="1">
        <v>45260</v>
      </c>
      <c r="B239">
        <v>0.45287812806164129</v>
      </c>
      <c r="C239">
        <v>0.4</v>
      </c>
      <c r="D239">
        <v>0</v>
      </c>
      <c r="E239">
        <v>0</v>
      </c>
      <c r="F239">
        <v>0</v>
      </c>
      <c r="G239">
        <v>0</v>
      </c>
      <c r="H239">
        <v>3.3813021343606878E-2</v>
      </c>
      <c r="I239">
        <v>0</v>
      </c>
      <c r="J239">
        <v>0</v>
      </c>
      <c r="K239">
        <v>0</v>
      </c>
      <c r="L239">
        <v>0</v>
      </c>
      <c r="M239">
        <v>0.11330885059475181</v>
      </c>
    </row>
    <row r="240" spans="1:13" x14ac:dyDescent="0.35">
      <c r="A240" s="1">
        <v>45291</v>
      </c>
      <c r="B240">
        <v>0.2000578245971433</v>
      </c>
      <c r="C240">
        <v>0.4</v>
      </c>
      <c r="D240">
        <v>0</v>
      </c>
      <c r="E240">
        <v>4.9992771925357088E-2</v>
      </c>
      <c r="F240">
        <v>0</v>
      </c>
      <c r="G240">
        <v>0</v>
      </c>
      <c r="H240">
        <v>0.34994940347749959</v>
      </c>
      <c r="I240">
        <v>0</v>
      </c>
      <c r="J240">
        <v>0</v>
      </c>
      <c r="K240">
        <v>0</v>
      </c>
      <c r="L240">
        <v>0</v>
      </c>
      <c r="M240">
        <v>0</v>
      </c>
    </row>
    <row r="241" spans="1:13" x14ac:dyDescent="0.35">
      <c r="A241" s="1">
        <v>45322</v>
      </c>
      <c r="B241">
        <v>0.43269920184939648</v>
      </c>
      <c r="C241">
        <v>0.4</v>
      </c>
      <c r="D241">
        <v>0</v>
      </c>
      <c r="E241">
        <v>0</v>
      </c>
      <c r="F241">
        <v>0</v>
      </c>
      <c r="G241">
        <v>0</v>
      </c>
      <c r="H241">
        <v>6.6349600924698257E-2</v>
      </c>
      <c r="I241">
        <v>0</v>
      </c>
      <c r="J241">
        <v>0</v>
      </c>
      <c r="K241">
        <v>0</v>
      </c>
      <c r="L241">
        <v>0</v>
      </c>
      <c r="M241">
        <v>0.1009511972259052</v>
      </c>
    </row>
    <row r="242" spans="1:13" x14ac:dyDescent="0.35">
      <c r="A242" s="1">
        <v>45351</v>
      </c>
      <c r="B242">
        <v>0.42730820873102832</v>
      </c>
      <c r="C242">
        <v>0.4</v>
      </c>
      <c r="D242">
        <v>0</v>
      </c>
      <c r="E242">
        <v>0</v>
      </c>
      <c r="F242">
        <v>0</v>
      </c>
      <c r="G242">
        <v>0</v>
      </c>
      <c r="H242">
        <v>6.365410436551415E-2</v>
      </c>
      <c r="I242">
        <v>0</v>
      </c>
      <c r="J242">
        <v>0</v>
      </c>
      <c r="K242">
        <v>0</v>
      </c>
      <c r="L242">
        <v>0</v>
      </c>
      <c r="M242">
        <v>0.1090376869034576</v>
      </c>
    </row>
    <row r="243" spans="1:13" x14ac:dyDescent="0.35">
      <c r="A243" s="1">
        <v>45382</v>
      </c>
      <c r="B243">
        <v>0.49391814423691471</v>
      </c>
      <c r="C243">
        <v>0.4</v>
      </c>
      <c r="D243">
        <v>0</v>
      </c>
      <c r="E243">
        <v>3.9780695911156988E-2</v>
      </c>
      <c r="F243">
        <v>0</v>
      </c>
      <c r="G243">
        <v>0</v>
      </c>
      <c r="H243">
        <v>6.6301159851928332E-2</v>
      </c>
      <c r="I243">
        <v>0</v>
      </c>
      <c r="J243">
        <v>0</v>
      </c>
      <c r="K243">
        <v>0</v>
      </c>
      <c r="L243">
        <v>0</v>
      </c>
      <c r="M243">
        <v>0</v>
      </c>
    </row>
    <row r="244" spans="1:13" x14ac:dyDescent="0.35">
      <c r="A244" s="1">
        <v>45412</v>
      </c>
      <c r="B244">
        <v>0.42511483223272772</v>
      </c>
      <c r="C244">
        <v>0.4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0.17488516776727231</v>
      </c>
    </row>
    <row r="245" spans="1:13" x14ac:dyDescent="0.35">
      <c r="A245" s="1">
        <v>45443</v>
      </c>
      <c r="B245">
        <v>0.20002449355051061</v>
      </c>
      <c r="C245">
        <v>0.4</v>
      </c>
      <c r="D245">
        <v>0</v>
      </c>
      <c r="E245">
        <v>0.19998775322474471</v>
      </c>
      <c r="F245">
        <v>0</v>
      </c>
      <c r="G245">
        <v>0</v>
      </c>
      <c r="H245">
        <v>0.19998775322474471</v>
      </c>
      <c r="I245">
        <v>0</v>
      </c>
      <c r="J245">
        <v>0</v>
      </c>
      <c r="K245">
        <v>0</v>
      </c>
      <c r="L245">
        <v>0</v>
      </c>
      <c r="M245">
        <v>0</v>
      </c>
    </row>
    <row r="246" spans="1:13" x14ac:dyDescent="0.35">
      <c r="A246" s="1">
        <v>45473</v>
      </c>
      <c r="B246">
        <v>0.37920327354662658</v>
      </c>
      <c r="C246">
        <v>0.4</v>
      </c>
      <c r="D246">
        <v>0</v>
      </c>
      <c r="E246">
        <v>2.7599590806671671E-2</v>
      </c>
      <c r="F246">
        <v>0</v>
      </c>
      <c r="G246">
        <v>0</v>
      </c>
      <c r="H246">
        <v>0.19319713564670171</v>
      </c>
      <c r="I246">
        <v>0</v>
      </c>
      <c r="J246">
        <v>0</v>
      </c>
      <c r="K246">
        <v>0</v>
      </c>
      <c r="L246">
        <v>0</v>
      </c>
      <c r="M246">
        <v>0</v>
      </c>
    </row>
    <row r="247" spans="1:13" x14ac:dyDescent="0.35">
      <c r="A247" s="1">
        <v>45504</v>
      </c>
      <c r="B247">
        <v>0.22540687914001889</v>
      </c>
      <c r="C247">
        <v>0.4</v>
      </c>
      <c r="D247">
        <v>0</v>
      </c>
      <c r="E247">
        <v>0.14047242032249291</v>
      </c>
      <c r="F247">
        <v>0</v>
      </c>
      <c r="G247">
        <v>0</v>
      </c>
      <c r="H247">
        <v>0.23412070053748821</v>
      </c>
      <c r="I247">
        <v>0</v>
      </c>
      <c r="J247">
        <v>0</v>
      </c>
      <c r="K247">
        <v>0</v>
      </c>
      <c r="L247">
        <v>0</v>
      </c>
      <c r="M247">
        <v>0</v>
      </c>
    </row>
    <row r="248" spans="1:13" x14ac:dyDescent="0.35">
      <c r="A248" s="1">
        <v>45535</v>
      </c>
      <c r="B248">
        <v>0.22574427983190509</v>
      </c>
      <c r="C248">
        <v>0.4</v>
      </c>
      <c r="D248">
        <v>0</v>
      </c>
      <c r="E248">
        <v>0.14034589506303549</v>
      </c>
      <c r="F248">
        <v>0</v>
      </c>
      <c r="G248">
        <v>0</v>
      </c>
      <c r="H248">
        <v>0.23390982510505931</v>
      </c>
      <c r="I248">
        <v>0</v>
      </c>
      <c r="J248">
        <v>0</v>
      </c>
      <c r="K248">
        <v>0</v>
      </c>
      <c r="L248">
        <v>0</v>
      </c>
      <c r="M248">
        <v>0</v>
      </c>
    </row>
    <row r="249" spans="1:13" x14ac:dyDescent="0.35">
      <c r="A249" s="1">
        <v>45565</v>
      </c>
      <c r="B249">
        <v>0.42978860109041128</v>
      </c>
      <c r="C249">
        <v>0.4</v>
      </c>
      <c r="D249">
        <v>0</v>
      </c>
      <c r="E249">
        <v>0</v>
      </c>
      <c r="F249">
        <v>0</v>
      </c>
      <c r="G249">
        <v>0</v>
      </c>
      <c r="H249">
        <v>0.1196829016356169</v>
      </c>
      <c r="I249">
        <v>0</v>
      </c>
      <c r="J249">
        <v>0</v>
      </c>
      <c r="K249">
        <v>0</v>
      </c>
      <c r="L249">
        <v>0</v>
      </c>
      <c r="M249">
        <v>5.0528497273971781E-2</v>
      </c>
    </row>
    <row r="250" spans="1:13" x14ac:dyDescent="0.35">
      <c r="A250" s="1">
        <v>45596</v>
      </c>
      <c r="B250">
        <v>0.20000000002249829</v>
      </c>
      <c r="C250">
        <v>0.4</v>
      </c>
      <c r="D250">
        <v>0</v>
      </c>
      <c r="E250">
        <v>0.2499999999859385</v>
      </c>
      <c r="F250">
        <v>0</v>
      </c>
      <c r="G250">
        <v>0</v>
      </c>
      <c r="H250">
        <v>0.1499999999915631</v>
      </c>
      <c r="I250">
        <v>0</v>
      </c>
      <c r="J250">
        <v>0</v>
      </c>
      <c r="K250">
        <v>0</v>
      </c>
      <c r="L250">
        <v>0</v>
      </c>
      <c r="M250">
        <v>0</v>
      </c>
    </row>
    <row r="251" spans="1:13" x14ac:dyDescent="0.35">
      <c r="A251" s="1">
        <v>45626</v>
      </c>
      <c r="B251">
        <v>0.4431760633436842</v>
      </c>
      <c r="C251">
        <v>0.4</v>
      </c>
      <c r="D251">
        <v>0</v>
      </c>
      <c r="E251">
        <v>0</v>
      </c>
      <c r="F251">
        <v>0</v>
      </c>
      <c r="G251">
        <v>0</v>
      </c>
      <c r="H251">
        <v>7.158803167184212E-2</v>
      </c>
      <c r="I251">
        <v>0</v>
      </c>
      <c r="J251">
        <v>0</v>
      </c>
      <c r="K251">
        <v>0</v>
      </c>
      <c r="L251">
        <v>0</v>
      </c>
      <c r="M251">
        <v>8.5235904984473643E-2</v>
      </c>
    </row>
    <row r="252" spans="1:13" x14ac:dyDescent="0.35">
      <c r="A252" s="1">
        <v>45657</v>
      </c>
      <c r="B252">
        <v>0.49671871708890108</v>
      </c>
      <c r="C252">
        <v>0.4</v>
      </c>
      <c r="D252">
        <v>0</v>
      </c>
      <c r="E252">
        <v>9.835935854445059E-2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4.9219243666482589E-3</v>
      </c>
    </row>
    <row r="253" spans="1:13" x14ac:dyDescent="0.35">
      <c r="A253" s="1">
        <v>45688</v>
      </c>
      <c r="B253">
        <v>0.2</v>
      </c>
      <c r="C253">
        <v>0.4</v>
      </c>
      <c r="D253">
        <v>0</v>
      </c>
      <c r="E253">
        <v>0.15</v>
      </c>
      <c r="F253">
        <v>0</v>
      </c>
      <c r="G253">
        <v>0</v>
      </c>
      <c r="H253">
        <v>0.25</v>
      </c>
      <c r="I253">
        <v>0</v>
      </c>
      <c r="J253">
        <v>0</v>
      </c>
      <c r="K253">
        <v>0</v>
      </c>
      <c r="L253">
        <v>0</v>
      </c>
      <c r="M253">
        <v>0</v>
      </c>
    </row>
    <row r="254" spans="1:13" x14ac:dyDescent="0.35">
      <c r="A254" s="1">
        <v>45716</v>
      </c>
      <c r="B254">
        <v>0.6</v>
      </c>
      <c r="C254">
        <v>0.4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</row>
    <row r="255" spans="1:13" x14ac:dyDescent="0.35">
      <c r="A255" s="1">
        <v>45747</v>
      </c>
      <c r="B255">
        <v>0.24925483591632069</v>
      </c>
      <c r="C255">
        <v>0.4</v>
      </c>
      <c r="D255">
        <v>0</v>
      </c>
      <c r="E255">
        <v>0.13152943653137969</v>
      </c>
      <c r="F255">
        <v>0</v>
      </c>
      <c r="G255">
        <v>0</v>
      </c>
      <c r="H255">
        <v>0.21921572755229959</v>
      </c>
      <c r="I255">
        <v>0</v>
      </c>
      <c r="J255">
        <v>0</v>
      </c>
      <c r="K255">
        <v>0</v>
      </c>
      <c r="L255">
        <v>0</v>
      </c>
      <c r="M255">
        <v>0</v>
      </c>
    </row>
    <row r="256" spans="1:13" x14ac:dyDescent="0.35">
      <c r="A256" s="1">
        <v>45777</v>
      </c>
      <c r="B256">
        <v>0.32605850606068798</v>
      </c>
      <c r="C256">
        <v>0.4</v>
      </c>
      <c r="D256">
        <v>0</v>
      </c>
      <c r="E256">
        <v>1.302925303034401E-2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0.26091224090896797</v>
      </c>
    </row>
    <row r="257" spans="1:13" x14ac:dyDescent="0.35">
      <c r="A257" s="1">
        <v>45808</v>
      </c>
      <c r="B257">
        <v>0.20087482975127541</v>
      </c>
      <c r="C257">
        <v>0.4</v>
      </c>
      <c r="D257">
        <v>0</v>
      </c>
      <c r="E257">
        <v>0.14967193884327171</v>
      </c>
      <c r="F257">
        <v>0.24945323140545289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</row>
    <row r="258" spans="1:13" x14ac:dyDescent="0.35">
      <c r="A258" s="1">
        <v>45838</v>
      </c>
      <c r="B258">
        <v>0.54831002921069538</v>
      </c>
      <c r="C258">
        <v>0.4</v>
      </c>
      <c r="D258">
        <v>0</v>
      </c>
      <c r="E258">
        <v>4.9718338201782571E-2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1.9716325875220211E-3</v>
      </c>
    </row>
    <row r="259" spans="1:13" x14ac:dyDescent="0.35">
      <c r="A259" s="1">
        <v>45869</v>
      </c>
      <c r="B259">
        <v>0.48674979034464089</v>
      </c>
      <c r="C259">
        <v>0.4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0.1132502096553591</v>
      </c>
    </row>
    <row r="260" spans="1:13" x14ac:dyDescent="0.35">
      <c r="A260" s="1">
        <v>45900</v>
      </c>
      <c r="B260">
        <v>0.22452203507933119</v>
      </c>
      <c r="C260">
        <v>0.4</v>
      </c>
      <c r="D260">
        <v>0</v>
      </c>
      <c r="E260">
        <v>0</v>
      </c>
      <c r="F260">
        <v>4.6934745615083602E-2</v>
      </c>
      <c r="G260">
        <v>0</v>
      </c>
      <c r="H260">
        <v>0.32854321930558522</v>
      </c>
      <c r="I260">
        <v>0</v>
      </c>
      <c r="J260">
        <v>0</v>
      </c>
      <c r="K260">
        <v>0</v>
      </c>
      <c r="L260">
        <v>0</v>
      </c>
      <c r="M260">
        <v>0</v>
      </c>
    </row>
    <row r="261" spans="1:13" x14ac:dyDescent="0.35">
      <c r="A261" s="1">
        <v>45930</v>
      </c>
      <c r="B261">
        <v>0.22799966698922211</v>
      </c>
      <c r="C261">
        <v>0.4</v>
      </c>
      <c r="D261">
        <v>0</v>
      </c>
      <c r="E261">
        <v>0</v>
      </c>
      <c r="F261">
        <v>4.6500041626347237E-2</v>
      </c>
      <c r="G261">
        <v>0</v>
      </c>
      <c r="H261">
        <v>0.3255002913844306</v>
      </c>
      <c r="I261">
        <v>0</v>
      </c>
      <c r="J261">
        <v>0</v>
      </c>
      <c r="K261">
        <v>0</v>
      </c>
      <c r="L261">
        <v>0</v>
      </c>
      <c r="M261">
        <v>0</v>
      </c>
    </row>
    <row r="262" spans="1:13" x14ac:dyDescent="0.35">
      <c r="A262" s="1">
        <v>45961</v>
      </c>
      <c r="B262">
        <v>0.44165221591539322</v>
      </c>
      <c r="C262">
        <v>0.4</v>
      </c>
      <c r="D262">
        <v>0</v>
      </c>
      <c r="E262">
        <v>7.0826107957696616E-2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8.7521676126910128E-2</v>
      </c>
    </row>
    <row r="263" spans="1:13" x14ac:dyDescent="0.35">
      <c r="A263" s="1">
        <v>45991</v>
      </c>
      <c r="B263">
        <v>0.23249938107337051</v>
      </c>
      <c r="C263">
        <v>0.4</v>
      </c>
      <c r="D263">
        <v>0</v>
      </c>
      <c r="E263">
        <v>0.27562546419497208</v>
      </c>
      <c r="F263">
        <v>0</v>
      </c>
      <c r="G263">
        <v>0</v>
      </c>
      <c r="H263">
        <v>9.187515473165736E-2</v>
      </c>
      <c r="I263">
        <v>0</v>
      </c>
      <c r="J263">
        <v>0</v>
      </c>
      <c r="K263">
        <v>0</v>
      </c>
      <c r="L263">
        <v>0</v>
      </c>
      <c r="M263">
        <v>0</v>
      </c>
    </row>
    <row r="264" spans="1:13" x14ac:dyDescent="0.35">
      <c r="A264" s="1">
        <v>46022</v>
      </c>
      <c r="B264">
        <v>0.28787105541888591</v>
      </c>
      <c r="C264">
        <v>0.4</v>
      </c>
      <c r="D264">
        <v>0</v>
      </c>
      <c r="E264">
        <v>6.3118425698143136E-3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0.3058171020112998</v>
      </c>
    </row>
    <row r="265" spans="1:13" x14ac:dyDescent="0.35">
      <c r="A265" s="1">
        <v>46053</v>
      </c>
      <c r="B265">
        <v>0.51967542193838356</v>
      </c>
      <c r="C265">
        <v>0.4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8.0324578061616414E-2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65"/>
  <sheetViews>
    <sheetView workbookViewId="0"/>
  </sheetViews>
  <sheetFormatPr defaultRowHeight="14.5" x14ac:dyDescent="0.35"/>
  <sheetData>
    <row r="1" spans="1:7" x14ac:dyDescent="0.35">
      <c r="B1" t="s">
        <v>1177</v>
      </c>
      <c r="C1" t="s">
        <v>1178</v>
      </c>
      <c r="D1" t="s">
        <v>1179</v>
      </c>
      <c r="E1" t="s">
        <v>1180</v>
      </c>
      <c r="F1" t="s">
        <v>1181</v>
      </c>
      <c r="G1" t="s">
        <v>1182</v>
      </c>
    </row>
    <row r="2" spans="1:7" x14ac:dyDescent="0.35">
      <c r="A2" s="1">
        <v>38046</v>
      </c>
      <c r="B2">
        <v>2.224307741544259E-2</v>
      </c>
      <c r="C2">
        <v>1.022243077415443</v>
      </c>
      <c r="D2">
        <v>0</v>
      </c>
      <c r="E2">
        <v>1.471187377138798E-2</v>
      </c>
      <c r="F2">
        <v>1.0147118737713881</v>
      </c>
      <c r="G2">
        <v>0</v>
      </c>
    </row>
    <row r="3" spans="1:7" x14ac:dyDescent="0.35">
      <c r="A3" s="1">
        <v>38077</v>
      </c>
      <c r="B3">
        <v>1.208586347429478E-5</v>
      </c>
      <c r="C3">
        <v>1.022255432105714</v>
      </c>
      <c r="D3">
        <v>0</v>
      </c>
      <c r="E3">
        <v>-3.8386335177070449E-3</v>
      </c>
      <c r="F3">
        <v>1.0108167667619139</v>
      </c>
      <c r="G3">
        <v>-3.83863351770708E-3</v>
      </c>
    </row>
    <row r="4" spans="1:7" x14ac:dyDescent="0.35">
      <c r="A4" s="1">
        <v>38107</v>
      </c>
      <c r="B4">
        <v>-3.5742813590150607E-2</v>
      </c>
      <c r="C4">
        <v>0.98571714675444011</v>
      </c>
      <c r="D4">
        <v>-3.5742813590150628E-2</v>
      </c>
      <c r="E4">
        <v>-2.6747958028699309E-2</v>
      </c>
      <c r="F4">
        <v>0.98377948230986068</v>
      </c>
      <c r="G4">
        <v>-3.0483915938187112E-2</v>
      </c>
    </row>
    <row r="5" spans="1:7" x14ac:dyDescent="0.35">
      <c r="A5" s="1">
        <v>38138</v>
      </c>
      <c r="B5">
        <v>6.2287919506885036E-3</v>
      </c>
      <c r="C5">
        <v>0.99185697378379978</v>
      </c>
      <c r="D5">
        <v>-2.9736656189047531E-2</v>
      </c>
      <c r="E5">
        <v>5.7424812155880273E-3</v>
      </c>
      <c r="F5">
        <v>0.98942881750730594</v>
      </c>
      <c r="G5">
        <v>-2.4916488037251772E-2</v>
      </c>
    </row>
    <row r="6" spans="1:7" x14ac:dyDescent="0.35">
      <c r="A6" s="1">
        <v>38168</v>
      </c>
      <c r="B6">
        <v>9.5620940271245961E-3</v>
      </c>
      <c r="C6">
        <v>1.00134120342858</v>
      </c>
      <c r="D6">
        <v>-2.0458906864454729E-2</v>
      </c>
      <c r="E6">
        <v>1.410703712416674E-2</v>
      </c>
      <c r="F6">
        <v>1.003386726567602</v>
      </c>
      <c r="G6">
        <v>-1.116094873483031E-2</v>
      </c>
    </row>
    <row r="7" spans="1:7" x14ac:dyDescent="0.35">
      <c r="A7" s="1">
        <v>38199</v>
      </c>
      <c r="B7">
        <v>-9.1775857318197422E-3</v>
      </c>
      <c r="C7">
        <v>0.9921513086873105</v>
      </c>
      <c r="D7">
        <v>-2.9448729224546669E-2</v>
      </c>
      <c r="E7">
        <v>-1.484573357437243E-2</v>
      </c>
      <c r="F7">
        <v>0.98849071455291759</v>
      </c>
      <c r="G7">
        <v>-2.5840989837848331E-2</v>
      </c>
    </row>
    <row r="8" spans="1:7" x14ac:dyDescent="0.35">
      <c r="A8" s="1">
        <v>38230</v>
      </c>
      <c r="B8">
        <v>2.963096716718739E-2</v>
      </c>
      <c r="C8">
        <v>1.0215497115399059</v>
      </c>
      <c r="D8">
        <v>-6.9035638612702233E-4</v>
      </c>
      <c r="E8">
        <v>1.340519491904482E-2</v>
      </c>
      <c r="F8">
        <v>1.0017416252571649</v>
      </c>
      <c r="G8">
        <v>-1.2782198424480921E-2</v>
      </c>
    </row>
    <row r="9" spans="1:7" x14ac:dyDescent="0.35">
      <c r="A9" s="1">
        <v>38260</v>
      </c>
      <c r="B9">
        <v>1.151656648830289E-2</v>
      </c>
      <c r="C9">
        <v>1.033314456713962</v>
      </c>
      <c r="D9">
        <v>0</v>
      </c>
      <c r="E9">
        <v>7.8829358055484168E-3</v>
      </c>
      <c r="F9">
        <v>1.0096382901828129</v>
      </c>
      <c r="G9">
        <v>-5.0000238685665721E-3</v>
      </c>
    </row>
    <row r="10" spans="1:7" x14ac:dyDescent="0.35">
      <c r="A10" s="1">
        <v>38291</v>
      </c>
      <c r="B10">
        <v>1.5598149040659129E-2</v>
      </c>
      <c r="C10">
        <v>1.0494322496156541</v>
      </c>
      <c r="D10">
        <v>0</v>
      </c>
      <c r="E10">
        <v>1.309824301834912E-2</v>
      </c>
      <c r="F10">
        <v>1.022862777868258</v>
      </c>
      <c r="G10">
        <v>0</v>
      </c>
    </row>
    <row r="11" spans="1:7" x14ac:dyDescent="0.35">
      <c r="A11" s="1">
        <v>38321</v>
      </c>
      <c r="B11">
        <v>2.0070073234556909E-2</v>
      </c>
      <c r="C11">
        <v>1.0704944317201459</v>
      </c>
      <c r="D11">
        <v>0</v>
      </c>
      <c r="E11">
        <v>1.6271683725912981E-2</v>
      </c>
      <c r="F11">
        <v>1.0395064774847389</v>
      </c>
      <c r="G11">
        <v>0</v>
      </c>
    </row>
    <row r="12" spans="1:7" x14ac:dyDescent="0.35">
      <c r="A12" s="1">
        <v>38352</v>
      </c>
      <c r="B12">
        <v>1.204261943277948E-2</v>
      </c>
      <c r="C12">
        <v>1.083385988766262</v>
      </c>
      <c r="D12">
        <v>0</v>
      </c>
      <c r="E12">
        <v>2.5508340790655219E-2</v>
      </c>
      <c r="F12">
        <v>1.066022562966513</v>
      </c>
      <c r="G12">
        <v>0</v>
      </c>
    </row>
    <row r="13" spans="1:7" x14ac:dyDescent="0.35">
      <c r="A13" s="1">
        <v>38383</v>
      </c>
      <c r="B13">
        <v>-1.5774646583137718E-2</v>
      </c>
      <c r="C13">
        <v>1.066295957680351</v>
      </c>
      <c r="D13">
        <v>-1.577464658313776E-2</v>
      </c>
      <c r="E13">
        <v>-1.190215615750701E-2</v>
      </c>
      <c r="F13">
        <v>1.0533345959546601</v>
      </c>
      <c r="G13">
        <v>-1.1902156157507121E-2</v>
      </c>
    </row>
    <row r="14" spans="1:7" x14ac:dyDescent="0.35">
      <c r="A14" s="1">
        <v>38411</v>
      </c>
      <c r="B14">
        <v>9.0882737978481166E-3</v>
      </c>
      <c r="C14">
        <v>1.075986747293288</v>
      </c>
      <c r="D14">
        <v>-6.8297370925014533E-3</v>
      </c>
      <c r="E14">
        <v>7.4654686954674287E-3</v>
      </c>
      <c r="F14">
        <v>1.061198232406612</v>
      </c>
      <c r="G14">
        <v>-4.5255426362422746E-3</v>
      </c>
    </row>
    <row r="15" spans="1:7" x14ac:dyDescent="0.35">
      <c r="A15" s="1">
        <v>38442</v>
      </c>
      <c r="B15">
        <v>-1.3364445438891129E-2</v>
      </c>
      <c r="C15">
        <v>1.0616067811161169</v>
      </c>
      <c r="D15">
        <v>-2.0102906882657919E-2</v>
      </c>
      <c r="E15">
        <v>-1.2823527126862281E-2</v>
      </c>
      <c r="F15">
        <v>1.047589928086367</v>
      </c>
      <c r="G15">
        <v>-1.7291036344344809E-2</v>
      </c>
    </row>
    <row r="16" spans="1:7" x14ac:dyDescent="0.35">
      <c r="A16" s="1">
        <v>38472</v>
      </c>
      <c r="B16">
        <v>4.8226755637874623E-3</v>
      </c>
      <c r="C16">
        <v>1.066726566197757</v>
      </c>
      <c r="D16">
        <v>-1.537718111665454E-2</v>
      </c>
      <c r="E16">
        <v>-1.759995800420104E-3</v>
      </c>
      <c r="F16">
        <v>1.045746174212373</v>
      </c>
      <c r="G16">
        <v>-1.9020599993413882E-2</v>
      </c>
    </row>
    <row r="17" spans="1:7" x14ac:dyDescent="0.35">
      <c r="A17" s="1">
        <v>38503</v>
      </c>
      <c r="B17">
        <v>4.957385692150749E-3</v>
      </c>
      <c r="C17">
        <v>1.0720147412144629</v>
      </c>
      <c r="D17">
        <v>-1.049602604215694E-2</v>
      </c>
      <c r="E17">
        <v>2.5454500748943169E-2</v>
      </c>
      <c r="F17">
        <v>1.0723651209870659</v>
      </c>
      <c r="G17">
        <v>0</v>
      </c>
    </row>
    <row r="18" spans="1:7" x14ac:dyDescent="0.35">
      <c r="A18" s="1">
        <v>38533</v>
      </c>
      <c r="B18">
        <v>1.8717573361148512E-2</v>
      </c>
      <c r="C18">
        <v>1.092080255777377</v>
      </c>
      <c r="D18">
        <v>0</v>
      </c>
      <c r="E18">
        <v>3.2219831707283549E-3</v>
      </c>
      <c r="F18">
        <v>1.075820263359762</v>
      </c>
      <c r="G18">
        <v>0</v>
      </c>
    </row>
    <row r="19" spans="1:7" x14ac:dyDescent="0.35">
      <c r="A19" s="1">
        <v>38564</v>
      </c>
      <c r="B19">
        <v>1.1506154029952E-2</v>
      </c>
      <c r="C19">
        <v>1.104645899413421</v>
      </c>
      <c r="D19">
        <v>0</v>
      </c>
      <c r="E19">
        <v>1.428427901000537E-2</v>
      </c>
      <c r="F19">
        <v>1.091187580166211</v>
      </c>
      <c r="G19">
        <v>0</v>
      </c>
    </row>
    <row r="20" spans="1:7" x14ac:dyDescent="0.35">
      <c r="A20" s="1">
        <v>38595</v>
      </c>
      <c r="B20">
        <v>7.8792980344557281E-3</v>
      </c>
      <c r="C20">
        <v>1.1133497336774389</v>
      </c>
      <c r="D20">
        <v>0</v>
      </c>
      <c r="E20">
        <v>2.3526170415801261E-3</v>
      </c>
      <c r="F20">
        <v>1.09375472666287</v>
      </c>
      <c r="G20">
        <v>0</v>
      </c>
    </row>
    <row r="21" spans="1:7" x14ac:dyDescent="0.35">
      <c r="A21" s="1">
        <v>38625</v>
      </c>
      <c r="B21">
        <v>1.119598566448912E-2</v>
      </c>
      <c r="C21">
        <v>1.1258147813352539</v>
      </c>
      <c r="D21">
        <v>0</v>
      </c>
      <c r="E21">
        <v>-2.139865580635932E-3</v>
      </c>
      <c r="F21">
        <v>1.091414238569627</v>
      </c>
      <c r="G21">
        <v>-2.1398655806360578E-3</v>
      </c>
    </row>
    <row r="22" spans="1:7" x14ac:dyDescent="0.35">
      <c r="A22" s="1">
        <v>38656</v>
      </c>
      <c r="B22">
        <v>-1.350288687371343E-2</v>
      </c>
      <c r="C22">
        <v>1.1106130317021301</v>
      </c>
      <c r="D22">
        <v>-1.350288687371359E-2</v>
      </c>
      <c r="E22">
        <v>-1.4725597721706301E-2</v>
      </c>
      <c r="F22">
        <v>1.0753425115447079</v>
      </c>
      <c r="G22">
        <v>-1.6833952502623321E-2</v>
      </c>
    </row>
    <row r="23" spans="1:7" x14ac:dyDescent="0.35">
      <c r="A23" s="1">
        <v>38686</v>
      </c>
      <c r="B23">
        <v>2.034523314128248E-2</v>
      </c>
      <c r="C23">
        <v>1.133208712761856</v>
      </c>
      <c r="D23">
        <v>0</v>
      </c>
      <c r="E23">
        <v>2.4905475616369289E-2</v>
      </c>
      <c r="F23">
        <v>1.10212442824523</v>
      </c>
      <c r="G23">
        <v>0</v>
      </c>
    </row>
    <row r="24" spans="1:7" x14ac:dyDescent="0.35">
      <c r="A24" s="1">
        <v>38717</v>
      </c>
      <c r="B24">
        <v>1.146231800828749E-2</v>
      </c>
      <c r="C24">
        <v>1.1461979113972951</v>
      </c>
      <c r="D24">
        <v>0</v>
      </c>
      <c r="E24">
        <v>5.0690046194130766E-3</v>
      </c>
      <c r="F24">
        <v>1.1077111020631729</v>
      </c>
      <c r="G24">
        <v>0</v>
      </c>
    </row>
    <row r="25" spans="1:7" x14ac:dyDescent="0.35">
      <c r="A25" s="1">
        <v>38748</v>
      </c>
      <c r="B25">
        <v>3.9331619780474669E-2</v>
      </c>
      <c r="C25">
        <v>1.191279731841548</v>
      </c>
      <c r="D25">
        <v>0</v>
      </c>
      <c r="E25">
        <v>1.3472951417018059E-2</v>
      </c>
      <c r="F25">
        <v>1.1226352399253621</v>
      </c>
      <c r="G25">
        <v>0</v>
      </c>
    </row>
    <row r="26" spans="1:7" x14ac:dyDescent="0.35">
      <c r="A26" s="1">
        <v>38776</v>
      </c>
      <c r="B26">
        <v>-2.7940435059621401E-2</v>
      </c>
      <c r="C26">
        <v>1.1579948578561861</v>
      </c>
      <c r="D26">
        <v>-2.7940435059621401E-2</v>
      </c>
      <c r="E26">
        <v>1.3114038269997649E-3</v>
      </c>
      <c r="F26">
        <v>1.124107468075324</v>
      </c>
      <c r="G26">
        <v>0</v>
      </c>
    </row>
    <row r="27" spans="1:7" x14ac:dyDescent="0.35">
      <c r="A27" s="1">
        <v>38807</v>
      </c>
      <c r="B27">
        <v>1.032958877414439E-2</v>
      </c>
      <c r="C27">
        <v>1.169956468540414</v>
      </c>
      <c r="D27">
        <v>-1.789945948981353E-2</v>
      </c>
      <c r="E27">
        <v>1.810191572425409E-3</v>
      </c>
      <c r="F27">
        <v>1.126142317940535</v>
      </c>
      <c r="G27">
        <v>0</v>
      </c>
    </row>
    <row r="28" spans="1:7" x14ac:dyDescent="0.35">
      <c r="A28" s="1">
        <v>38837</v>
      </c>
      <c r="B28">
        <v>1.638896878012774E-2</v>
      </c>
      <c r="C28">
        <v>1.189130848577431</v>
      </c>
      <c r="D28">
        <v>-1.803844392445519E-3</v>
      </c>
      <c r="E28">
        <v>5.5579993832834034E-3</v>
      </c>
      <c r="F28">
        <v>1.132401416249138</v>
      </c>
      <c r="G28">
        <v>0</v>
      </c>
    </row>
    <row r="29" spans="1:7" x14ac:dyDescent="0.35">
      <c r="A29" s="1">
        <v>38868</v>
      </c>
      <c r="B29">
        <v>-1.9367352033962022E-2</v>
      </c>
      <c r="C29">
        <v>1.1661005328185881</v>
      </c>
      <c r="D29">
        <v>-2.1136260737044551E-2</v>
      </c>
      <c r="E29">
        <v>-1.7732697846766701E-2</v>
      </c>
      <c r="F29">
        <v>1.112320884093541</v>
      </c>
      <c r="G29">
        <v>-1.773269784676668E-2</v>
      </c>
    </row>
    <row r="30" spans="1:7" x14ac:dyDescent="0.35">
      <c r="A30" s="1">
        <v>38898</v>
      </c>
      <c r="B30">
        <v>1.1465155042760401E-2</v>
      </c>
      <c r="C30">
        <v>1.1794700562227991</v>
      </c>
      <c r="D30">
        <v>-9.9134362006586541E-3</v>
      </c>
      <c r="E30">
        <v>2.06964205129702E-3</v>
      </c>
      <c r="F30">
        <v>1.114622990169797</v>
      </c>
      <c r="G30">
        <v>-1.569975613261609E-2</v>
      </c>
    </row>
    <row r="31" spans="1:7" x14ac:dyDescent="0.35">
      <c r="A31" s="1">
        <v>38929</v>
      </c>
      <c r="B31">
        <v>2.0791993817833369E-2</v>
      </c>
      <c r="C31">
        <v>1.2039935903401029</v>
      </c>
      <c r="D31">
        <v>0</v>
      </c>
      <c r="E31">
        <v>9.9165685265350974E-3</v>
      </c>
      <c r="F31">
        <v>1.125676225433067</v>
      </c>
      <c r="G31">
        <v>-5.938875313620029E-3</v>
      </c>
    </row>
    <row r="32" spans="1:7" x14ac:dyDescent="0.35">
      <c r="A32" s="1">
        <v>38960</v>
      </c>
      <c r="B32">
        <v>-6.3139255653144565E-4</v>
      </c>
      <c r="C32">
        <v>1.2032333977490499</v>
      </c>
      <c r="D32">
        <v>-6.3139255653144044E-4</v>
      </c>
      <c r="E32">
        <v>2.1730496259546331E-2</v>
      </c>
      <c r="F32">
        <v>1.1501377284393011</v>
      </c>
      <c r="G32">
        <v>0</v>
      </c>
    </row>
    <row r="33" spans="1:7" x14ac:dyDescent="0.35">
      <c r="A33" s="1">
        <v>38990</v>
      </c>
      <c r="B33">
        <v>-4.0848840593582488E-3</v>
      </c>
      <c r="C33">
        <v>1.198318328822898</v>
      </c>
      <c r="D33">
        <v>-4.7136974505003204E-3</v>
      </c>
      <c r="E33">
        <v>1.9990981813648029E-2</v>
      </c>
      <c r="F33">
        <v>1.1731301108517209</v>
      </c>
      <c r="G33">
        <v>0</v>
      </c>
    </row>
    <row r="34" spans="1:7" x14ac:dyDescent="0.35">
      <c r="A34" s="1">
        <v>39021</v>
      </c>
      <c r="B34">
        <v>2.0296687022977648E-2</v>
      </c>
      <c r="C34">
        <v>1.222640220896914</v>
      </c>
      <c r="D34">
        <v>0</v>
      </c>
      <c r="E34">
        <v>2.177071680841049E-2</v>
      </c>
      <c r="F34">
        <v>1.1986699942744929</v>
      </c>
      <c r="G34">
        <v>0</v>
      </c>
    </row>
    <row r="35" spans="1:7" x14ac:dyDescent="0.35">
      <c r="A35" s="1">
        <v>39051</v>
      </c>
      <c r="B35">
        <v>4.2420849616507557E-2</v>
      </c>
      <c r="C35">
        <v>1.274505657842675</v>
      </c>
      <c r="D35">
        <v>0</v>
      </c>
      <c r="E35">
        <v>1.6603395268252719E-2</v>
      </c>
      <c r="F35">
        <v>1.218571985985627</v>
      </c>
      <c r="G35">
        <v>0</v>
      </c>
    </row>
    <row r="36" spans="1:7" x14ac:dyDescent="0.35">
      <c r="A36" s="1">
        <v>39082</v>
      </c>
      <c r="B36">
        <v>-4.9458845308985111E-3</v>
      </c>
      <c r="C36">
        <v>1.268202100025009</v>
      </c>
      <c r="D36">
        <v>-4.9458845308985033E-3</v>
      </c>
      <c r="E36">
        <v>3.1698375782743008E-3</v>
      </c>
      <c r="F36">
        <v>1.222434661258637</v>
      </c>
      <c r="G36">
        <v>0</v>
      </c>
    </row>
    <row r="37" spans="1:7" x14ac:dyDescent="0.35">
      <c r="A37" s="1">
        <v>39113</v>
      </c>
      <c r="B37">
        <v>-2.552374492520782E-3</v>
      </c>
      <c r="C37">
        <v>1.264965173333543</v>
      </c>
      <c r="D37">
        <v>-7.4856352738996712E-3</v>
      </c>
      <c r="E37">
        <v>7.5643247741545867E-3</v>
      </c>
      <c r="F37">
        <v>1.23168155405158</v>
      </c>
      <c r="G37">
        <v>0</v>
      </c>
    </row>
    <row r="38" spans="1:7" x14ac:dyDescent="0.35">
      <c r="A38" s="1">
        <v>39141</v>
      </c>
      <c r="B38">
        <v>6.594344294816536E-3</v>
      </c>
      <c r="C38">
        <v>1.273306789207457</v>
      </c>
      <c r="D38">
        <v>-9.4065383534447378E-4</v>
      </c>
      <c r="E38">
        <v>-3.3786268313291149E-3</v>
      </c>
      <c r="F38">
        <v>1.227520161705409</v>
      </c>
      <c r="G38">
        <v>-3.3786268313291679E-3</v>
      </c>
    </row>
    <row r="39" spans="1:7" x14ac:dyDescent="0.35">
      <c r="A39" s="1">
        <v>39172</v>
      </c>
      <c r="B39">
        <v>2.1008486575175261E-2</v>
      </c>
      <c r="C39">
        <v>1.300057037794601</v>
      </c>
      <c r="D39">
        <v>0</v>
      </c>
      <c r="E39">
        <v>6.137566801860333E-3</v>
      </c>
      <c r="F39">
        <v>1.235054148698506</v>
      </c>
      <c r="G39">
        <v>0</v>
      </c>
    </row>
    <row r="40" spans="1:7" x14ac:dyDescent="0.35">
      <c r="A40" s="1">
        <v>39202</v>
      </c>
      <c r="B40">
        <v>3.1081428699540749E-2</v>
      </c>
      <c r="C40">
        <v>1.34046466792015</v>
      </c>
      <c r="D40">
        <v>0</v>
      </c>
      <c r="E40">
        <v>2.8735967334185469E-2</v>
      </c>
      <c r="F40">
        <v>1.270544624371456</v>
      </c>
      <c r="G40">
        <v>0</v>
      </c>
    </row>
    <row r="41" spans="1:7" x14ac:dyDescent="0.35">
      <c r="A41" s="1">
        <v>39233</v>
      </c>
      <c r="B41">
        <v>3.1340931254983648E-2</v>
      </c>
      <c r="C41">
        <v>1.3824760789271699</v>
      </c>
      <c r="D41">
        <v>0</v>
      </c>
      <c r="E41">
        <v>1.476757902544007E-2</v>
      </c>
      <c r="F41">
        <v>1.2893074925172101</v>
      </c>
      <c r="G41">
        <v>0</v>
      </c>
    </row>
    <row r="42" spans="1:7" x14ac:dyDescent="0.35">
      <c r="A42" s="1">
        <v>39263</v>
      </c>
      <c r="B42">
        <v>-1.0422385094366531E-5</v>
      </c>
      <c r="C42">
        <v>1.3824616702290919</v>
      </c>
      <c r="D42">
        <v>-1.0422385094410741E-5</v>
      </c>
      <c r="E42">
        <v>-1.18209748170763E-2</v>
      </c>
      <c r="F42">
        <v>1.274066621116696</v>
      </c>
      <c r="G42">
        <v>-1.1820974817076221E-2</v>
      </c>
    </row>
    <row r="43" spans="1:7" x14ac:dyDescent="0.35">
      <c r="A43" s="1">
        <v>39294</v>
      </c>
      <c r="B43">
        <v>2.312488342592321E-3</v>
      </c>
      <c r="C43">
        <v>1.385658596725577</v>
      </c>
      <c r="D43">
        <v>0</v>
      </c>
      <c r="E43">
        <v>-1.0293595038882121E-2</v>
      </c>
      <c r="F43">
        <v>1.2609518952663641</v>
      </c>
      <c r="G43">
        <v>-2.199288952822653E-2</v>
      </c>
    </row>
    <row r="44" spans="1:7" x14ac:dyDescent="0.35">
      <c r="A44" s="1">
        <v>39325</v>
      </c>
      <c r="B44">
        <v>8.7831683033066706E-3</v>
      </c>
      <c r="C44">
        <v>1.3978290693915421</v>
      </c>
      <c r="D44">
        <v>0</v>
      </c>
      <c r="E44">
        <v>1.756796783862407E-2</v>
      </c>
      <c r="F44">
        <v>1.283104257608455</v>
      </c>
      <c r="G44">
        <v>-4.8112920655128946E-3</v>
      </c>
    </row>
    <row r="45" spans="1:7" x14ac:dyDescent="0.35">
      <c r="A45" s="1">
        <v>39355</v>
      </c>
      <c r="B45">
        <v>3.613919221820916E-2</v>
      </c>
      <c r="C45">
        <v>1.448345482818483</v>
      </c>
      <c r="D45">
        <v>0</v>
      </c>
      <c r="E45">
        <v>2.3692446716694571E-2</v>
      </c>
      <c r="F45">
        <v>1.3135041368638081</v>
      </c>
      <c r="G45">
        <v>0</v>
      </c>
    </row>
    <row r="46" spans="1:7" x14ac:dyDescent="0.35">
      <c r="A46" s="1">
        <v>39386</v>
      </c>
      <c r="B46">
        <v>1.6548612717128219E-2</v>
      </c>
      <c r="C46">
        <v>1.472313591294248</v>
      </c>
      <c r="D46">
        <v>0</v>
      </c>
      <c r="E46">
        <v>1.39378184550555E-2</v>
      </c>
      <c r="F46">
        <v>1.3318115190633799</v>
      </c>
      <c r="G46">
        <v>0</v>
      </c>
    </row>
    <row r="47" spans="1:7" x14ac:dyDescent="0.35">
      <c r="A47" s="1">
        <v>39416</v>
      </c>
      <c r="B47">
        <v>-1.086164957471864E-2</v>
      </c>
      <c r="C47">
        <v>1.456321837001515</v>
      </c>
      <c r="D47">
        <v>-1.086164957471869E-2</v>
      </c>
      <c r="E47">
        <v>-1.075345172228641E-2</v>
      </c>
      <c r="F47">
        <v>1.3174899481899469</v>
      </c>
      <c r="G47">
        <v>-1.075345172228637E-2</v>
      </c>
    </row>
    <row r="48" spans="1:7" x14ac:dyDescent="0.35">
      <c r="A48" s="1">
        <v>39447</v>
      </c>
      <c r="B48">
        <v>3.0281888423922289E-2</v>
      </c>
      <c r="C48">
        <v>1.500422012378916</v>
      </c>
      <c r="D48">
        <v>0</v>
      </c>
      <c r="E48">
        <v>-3.9469503512885229E-3</v>
      </c>
      <c r="F48">
        <v>1.3122898807761201</v>
      </c>
      <c r="G48">
        <v>-1.465795873352216E-2</v>
      </c>
    </row>
    <row r="49" spans="1:7" x14ac:dyDescent="0.35">
      <c r="A49" s="1">
        <v>39478</v>
      </c>
      <c r="B49">
        <v>-4.6018047593232053E-2</v>
      </c>
      <c r="C49">
        <v>1.4313755208033301</v>
      </c>
      <c r="D49">
        <v>-4.6018047593232032E-2</v>
      </c>
      <c r="E49">
        <v>-2.3612433528043479E-2</v>
      </c>
      <c r="F49">
        <v>1.28130352319677</v>
      </c>
      <c r="G49">
        <v>-3.7924282185313407E-2</v>
      </c>
    </row>
    <row r="50" spans="1:7" x14ac:dyDescent="0.35">
      <c r="A50" s="1">
        <v>39507</v>
      </c>
      <c r="B50">
        <v>-1.471917995461614E-2</v>
      </c>
      <c r="C50">
        <v>1.4103068469299931</v>
      </c>
      <c r="D50">
        <v>-6.0059879624163259E-2</v>
      </c>
      <c r="E50">
        <v>-1.4234209452957161E-2</v>
      </c>
      <c r="F50">
        <v>1.263065180474775</v>
      </c>
      <c r="G50">
        <v>-5.1618669462291773E-2</v>
      </c>
    </row>
    <row r="51" spans="1:7" x14ac:dyDescent="0.35">
      <c r="A51" s="1">
        <v>39538</v>
      </c>
      <c r="B51">
        <v>2.2475432850836692E-3</v>
      </c>
      <c r="C51">
        <v>1.413476572613718</v>
      </c>
      <c r="D51">
        <v>-5.7947323518231841E-2</v>
      </c>
      <c r="E51">
        <v>2.6785857374678509E-3</v>
      </c>
      <c r="F51">
        <v>1.2664484088526871</v>
      </c>
      <c r="G51">
        <v>-4.9078348756632639E-2</v>
      </c>
    </row>
    <row r="52" spans="1:7" x14ac:dyDescent="0.35">
      <c r="A52" s="1">
        <v>39568</v>
      </c>
      <c r="B52">
        <v>2.8582996074593341E-2</v>
      </c>
      <c r="C52">
        <v>1.453877967940266</v>
      </c>
      <c r="D52">
        <v>-3.1020635564293238E-2</v>
      </c>
      <c r="E52">
        <v>1.8951649054470769E-2</v>
      </c>
      <c r="F52">
        <v>1.2904496946428561</v>
      </c>
      <c r="G52">
        <v>-3.1056815343970531E-2</v>
      </c>
    </row>
    <row r="53" spans="1:7" x14ac:dyDescent="0.35">
      <c r="A53" s="1">
        <v>39599</v>
      </c>
      <c r="B53">
        <v>1.5777366810418719E-2</v>
      </c>
      <c r="C53">
        <v>1.476816333938046</v>
      </c>
      <c r="D53">
        <v>-1.573269269986477E-2</v>
      </c>
      <c r="E53">
        <v>7.5599190248940766E-4</v>
      </c>
      <c r="F53">
        <v>1.2914252641625761</v>
      </c>
      <c r="G53">
        <v>-3.0324302142398341E-2</v>
      </c>
    </row>
    <row r="54" spans="1:7" x14ac:dyDescent="0.35">
      <c r="A54" s="1">
        <v>39629</v>
      </c>
      <c r="B54">
        <v>-2.3033944760238709E-2</v>
      </c>
      <c r="C54">
        <v>1.442799428081099</v>
      </c>
      <c r="D54">
        <v>-3.8404251485524947E-2</v>
      </c>
      <c r="E54">
        <v>-4.7812843972679209E-2</v>
      </c>
      <c r="F54">
        <v>1.2296785495047939</v>
      </c>
      <c r="G54">
        <v>-7.6687254988162756E-2</v>
      </c>
    </row>
    <row r="55" spans="1:7" x14ac:dyDescent="0.35">
      <c r="A55" s="1">
        <v>39660</v>
      </c>
      <c r="B55">
        <v>-6.639037511192919E-2</v>
      </c>
      <c r="C55">
        <v>1.3470114328395171</v>
      </c>
      <c r="D55">
        <v>-0.10224495393543739</v>
      </c>
      <c r="E55">
        <v>-2.7086408815276538E-3</v>
      </c>
      <c r="F55">
        <v>1.2263477919144681</v>
      </c>
      <c r="G55">
        <v>-7.9188177635737267E-2</v>
      </c>
    </row>
    <row r="56" spans="1:7" x14ac:dyDescent="0.35">
      <c r="A56" s="1">
        <v>39691</v>
      </c>
      <c r="B56">
        <v>1.1306219365693339E-2</v>
      </c>
      <c r="C56">
        <v>1.3622410395872979</v>
      </c>
      <c r="D56">
        <v>-9.2094738447973223E-2</v>
      </c>
      <c r="E56">
        <v>1.546416123506811E-2</v>
      </c>
      <c r="F56">
        <v>1.2453122318989029</v>
      </c>
      <c r="G56">
        <v>-6.4948595147539478E-2</v>
      </c>
    </row>
    <row r="57" spans="1:7" x14ac:dyDescent="0.35">
      <c r="A57" s="1">
        <v>39721</v>
      </c>
      <c r="B57">
        <v>-7.6197442571959664E-2</v>
      </c>
      <c r="C57">
        <v>1.2584417562041781</v>
      </c>
      <c r="D57">
        <v>-0.16127479747586379</v>
      </c>
      <c r="E57">
        <v>-5.4582739875565077E-2</v>
      </c>
      <c r="F57">
        <v>1.1773396782813059</v>
      </c>
      <c r="G57">
        <v>-0.115986262748883</v>
      </c>
    </row>
    <row r="58" spans="1:7" x14ac:dyDescent="0.35">
      <c r="A58" s="1">
        <v>39752</v>
      </c>
      <c r="B58">
        <v>-0.1176319326635383</v>
      </c>
      <c r="C58">
        <v>1.110408820277383</v>
      </c>
      <c r="D58">
        <v>-0.25993566402239571</v>
      </c>
      <c r="E58">
        <v>-0.1089208432993161</v>
      </c>
      <c r="F58">
        <v>1.049102847673161</v>
      </c>
      <c r="G58">
        <v>-0.21227378449845469</v>
      </c>
    </row>
    <row r="59" spans="1:7" x14ac:dyDescent="0.35">
      <c r="A59" s="1">
        <v>39782</v>
      </c>
      <c r="B59">
        <v>7.462314455372379E-3</v>
      </c>
      <c r="C59">
        <v>1.118695040068312</v>
      </c>
      <c r="D59">
        <v>-0.25441307123012441</v>
      </c>
      <c r="E59">
        <v>-1.3827926145463521E-2</v>
      </c>
      <c r="F59">
        <v>1.03459593097654</v>
      </c>
      <c r="G59">
        <v>-0.2231664044292557</v>
      </c>
    </row>
    <row r="60" spans="1:7" x14ac:dyDescent="0.35">
      <c r="A60" s="1">
        <v>39813</v>
      </c>
      <c r="B60">
        <v>5.3652330728478623E-2</v>
      </c>
      <c r="C60">
        <v>1.1787156363423661</v>
      </c>
      <c r="D60">
        <v>-0.21441059474093241</v>
      </c>
      <c r="E60">
        <v>2.702593598063199E-2</v>
      </c>
      <c r="F60">
        <v>1.0625568543729349</v>
      </c>
      <c r="G60">
        <v>-0.2021717494077567</v>
      </c>
    </row>
    <row r="61" spans="1:7" x14ac:dyDescent="0.35">
      <c r="A61" s="1">
        <v>39844</v>
      </c>
      <c r="B61">
        <v>-1.3271370018903571E-2</v>
      </c>
      <c r="C61">
        <v>1.163072464985399</v>
      </c>
      <c r="D61">
        <v>-0.2248364424210558</v>
      </c>
      <c r="E61">
        <v>-6.6514994192248308E-2</v>
      </c>
      <c r="F61">
        <v>0.99188089137538538</v>
      </c>
      <c r="G61">
        <v>-0.25523929086231129</v>
      </c>
    </row>
    <row r="62" spans="1:7" x14ac:dyDescent="0.35">
      <c r="A62" s="1">
        <v>39872</v>
      </c>
      <c r="B62">
        <v>-1.931946073294909E-2</v>
      </c>
      <c r="C62">
        <v>1.1406025321685389</v>
      </c>
      <c r="D62">
        <v>-0.23981218433331539</v>
      </c>
      <c r="E62">
        <v>-6.8288613765621994E-2</v>
      </c>
      <c r="F62">
        <v>0.9241467202827508</v>
      </c>
      <c r="G62">
        <v>-0.30609796727642569</v>
      </c>
    </row>
    <row r="63" spans="1:7" x14ac:dyDescent="0.35">
      <c r="A63" s="1">
        <v>39903</v>
      </c>
      <c r="B63">
        <v>2.0958010126350641E-2</v>
      </c>
      <c r="C63">
        <v>1.1645072915878689</v>
      </c>
      <c r="D63">
        <v>-0.22388016039464459</v>
      </c>
      <c r="E63">
        <v>6.6306984224029683E-2</v>
      </c>
      <c r="F63">
        <v>0.98542410228522781</v>
      </c>
      <c r="G63">
        <v>-0.26008741613960162</v>
      </c>
    </row>
    <row r="64" spans="1:7" x14ac:dyDescent="0.35">
      <c r="A64" s="1">
        <v>39933</v>
      </c>
      <c r="B64">
        <v>4.4284196988258598E-2</v>
      </c>
      <c r="C64">
        <v>1.2160765618828091</v>
      </c>
      <c r="D64">
        <v>-0.1895103165310654</v>
      </c>
      <c r="E64">
        <v>4.4684197146939553E-2</v>
      </c>
      <c r="F64">
        <v>1.0294569871450869</v>
      </c>
      <c r="G64">
        <v>-0.2270250163708821</v>
      </c>
    </row>
    <row r="65" spans="1:7" x14ac:dyDescent="0.35">
      <c r="A65" s="1">
        <v>39964</v>
      </c>
      <c r="B65">
        <v>2.476257365838436E-2</v>
      </c>
      <c r="C65">
        <v>1.2461897473206669</v>
      </c>
      <c r="D65">
        <v>-0.16944050604480529</v>
      </c>
      <c r="E65">
        <v>2.4762573659600339E-2</v>
      </c>
      <c r="F65">
        <v>1.054948991618657</v>
      </c>
      <c r="G65">
        <v>-0.20788416640173771</v>
      </c>
    </row>
    <row r="66" spans="1:7" x14ac:dyDescent="0.35">
      <c r="A66" s="1">
        <v>39994</v>
      </c>
      <c r="B66">
        <v>-1.4219061838213309E-2</v>
      </c>
      <c r="C66">
        <v>1.228470098241367</v>
      </c>
      <c r="D66">
        <v>-0.1812502828496694</v>
      </c>
      <c r="E66">
        <v>-1.7523005449548301E-4</v>
      </c>
      <c r="F66">
        <v>1.054764132849366</v>
      </c>
      <c r="G66">
        <v>-0.2080229689024258</v>
      </c>
    </row>
    <row r="67" spans="1:7" x14ac:dyDescent="0.35">
      <c r="A67" s="1">
        <v>40025</v>
      </c>
      <c r="B67">
        <v>4.2950851556173682E-2</v>
      </c>
      <c r="C67">
        <v>1.28123393507213</v>
      </c>
      <c r="D67">
        <v>-0.14608428528668641</v>
      </c>
      <c r="E67">
        <v>4.7398762116011399E-2</v>
      </c>
      <c r="F67">
        <v>1.104758647070794</v>
      </c>
      <c r="G67">
        <v>-0.17048423800408691</v>
      </c>
    </row>
    <row r="68" spans="1:7" x14ac:dyDescent="0.35">
      <c r="A68" s="1">
        <v>40056</v>
      </c>
      <c r="B68">
        <v>2.0165547431613369E-2</v>
      </c>
      <c r="C68">
        <v>1.3070707187608199</v>
      </c>
      <c r="D68">
        <v>-0.12886460743903491</v>
      </c>
      <c r="E68">
        <v>2.5355952237620442E-2</v>
      </c>
      <c r="F68">
        <v>1.1327708545600199</v>
      </c>
      <c r="G68">
        <v>-0.1494510759625651</v>
      </c>
    </row>
    <row r="69" spans="1:7" x14ac:dyDescent="0.35">
      <c r="A69" s="1">
        <v>40086</v>
      </c>
      <c r="B69">
        <v>3.1757378646544238E-2</v>
      </c>
      <c r="C69">
        <v>1.3485798584943181</v>
      </c>
      <c r="D69">
        <v>-0.1011996309250706</v>
      </c>
      <c r="E69">
        <v>2.6668267728837781E-2</v>
      </c>
      <c r="F69">
        <v>1.162979890984851</v>
      </c>
      <c r="G69">
        <v>-0.12676840953985991</v>
      </c>
    </row>
    <row r="70" spans="1:7" x14ac:dyDescent="0.35">
      <c r="A70" s="1">
        <v>40117</v>
      </c>
      <c r="B70">
        <v>-2.8664457216052309E-3</v>
      </c>
      <c r="C70">
        <v>1.3447142275286941</v>
      </c>
      <c r="D70">
        <v>-0.1037759933975826</v>
      </c>
      <c r="E70">
        <v>-1.1429133065451239E-2</v>
      </c>
      <c r="F70">
        <v>1.149688039058341</v>
      </c>
      <c r="G70">
        <v>-0.1367486895841844</v>
      </c>
    </row>
    <row r="71" spans="1:7" x14ac:dyDescent="0.35">
      <c r="A71" s="1">
        <v>40147</v>
      </c>
      <c r="B71">
        <v>3.104847781251337E-2</v>
      </c>
      <c r="C71">
        <v>1.386465557386289</v>
      </c>
      <c r="D71">
        <v>-7.5949602213545742E-2</v>
      </c>
      <c r="E71">
        <v>4.3799136889051793E-2</v>
      </c>
      <c r="F71">
        <v>1.2000433828607631</v>
      </c>
      <c r="G71">
        <v>-9.8939027269628776E-2</v>
      </c>
    </row>
    <row r="72" spans="1:7" x14ac:dyDescent="0.35">
      <c r="A72" s="1">
        <v>40178</v>
      </c>
      <c r="B72">
        <v>-7.8981161764072882E-3</v>
      </c>
      <c r="C72">
        <v>1.3755150913394649</v>
      </c>
      <c r="D72">
        <v>-8.3247859608118535E-2</v>
      </c>
      <c r="E72">
        <v>-5.6705782527781351E-3</v>
      </c>
      <c r="F72">
        <v>1.1932384429515219</v>
      </c>
      <c r="G72">
        <v>-0.10404856402602081</v>
      </c>
    </row>
    <row r="73" spans="1:7" x14ac:dyDescent="0.35">
      <c r="A73" s="1">
        <v>40209</v>
      </c>
      <c r="B73">
        <v>-1.470478153664624E-2</v>
      </c>
      <c r="C73">
        <v>1.3552884424209579</v>
      </c>
      <c r="D73">
        <v>-9.6728499555833958E-2</v>
      </c>
      <c r="E73">
        <v>-1.3121797965078541E-2</v>
      </c>
      <c r="F73">
        <v>1.1775810091789469</v>
      </c>
      <c r="G73">
        <v>-0.1158050577553934</v>
      </c>
    </row>
    <row r="74" spans="1:7" x14ac:dyDescent="0.35">
      <c r="A74" s="1">
        <v>40237</v>
      </c>
      <c r="B74">
        <v>2.2622527763849279E-2</v>
      </c>
      <c r="C74">
        <v>1.38594849283765</v>
      </c>
      <c r="D74">
        <v>-7.6294214958742113E-2</v>
      </c>
      <c r="E74">
        <v>2.0898103160751941E-2</v>
      </c>
      <c r="F74">
        <v>1.2021902185889111</v>
      </c>
      <c r="G74">
        <v>-9.7327060638150442E-2</v>
      </c>
    </row>
    <row r="75" spans="1:7" x14ac:dyDescent="0.35">
      <c r="A75" s="1">
        <v>40268</v>
      </c>
      <c r="B75">
        <v>2.816026126401254E-2</v>
      </c>
      <c r="C75">
        <v>1.4249771644944229</v>
      </c>
      <c r="D75">
        <v>-5.0282418720900453E-2</v>
      </c>
      <c r="E75">
        <v>3.052080960240712E-2</v>
      </c>
      <c r="F75">
        <v>1.2388820373563401</v>
      </c>
      <c r="G75">
        <v>-6.9776751722642083E-2</v>
      </c>
    </row>
    <row r="76" spans="1:7" x14ac:dyDescent="0.35">
      <c r="A76" s="1">
        <v>40298</v>
      </c>
      <c r="B76">
        <v>1.2291593978949571E-2</v>
      </c>
      <c r="C76">
        <v>1.442492405229663</v>
      </c>
      <c r="D76">
        <v>-3.860887581714767E-2</v>
      </c>
      <c r="E76">
        <v>1.599020651066738E-2</v>
      </c>
      <c r="F76">
        <v>1.2586920169760241</v>
      </c>
      <c r="G76">
        <v>-5.4902289881663353E-2</v>
      </c>
    </row>
    <row r="77" spans="1:7" x14ac:dyDescent="0.35">
      <c r="A77" s="1">
        <v>40329</v>
      </c>
      <c r="B77">
        <v>-4.7613418011845293E-2</v>
      </c>
      <c r="C77">
        <v>1.3738104113605509</v>
      </c>
      <c r="D77">
        <v>-8.4383993285743641E-2</v>
      </c>
      <c r="E77">
        <v>-3.804551065654671E-2</v>
      </c>
      <c r="F77">
        <v>1.210804436430853</v>
      </c>
      <c r="G77">
        <v>-9.0859014883448275E-2</v>
      </c>
    </row>
    <row r="78" spans="1:7" x14ac:dyDescent="0.35">
      <c r="A78" s="1">
        <v>40359</v>
      </c>
      <c r="B78">
        <v>-1.5593147457250611E-2</v>
      </c>
      <c r="C78">
        <v>1.3523883830379</v>
      </c>
      <c r="D78">
        <v>-9.8661328692657979E-2</v>
      </c>
      <c r="E78">
        <v>-1.9845493596024649E-2</v>
      </c>
      <c r="F78">
        <v>1.186775424741626</v>
      </c>
      <c r="G78">
        <v>-0.1089013664814624</v>
      </c>
    </row>
    <row r="79" spans="1:7" x14ac:dyDescent="0.35">
      <c r="A79" s="1">
        <v>40390</v>
      </c>
      <c r="B79">
        <v>3.6848349562736991E-2</v>
      </c>
      <c r="C79">
        <v>1.402221662920665</v>
      </c>
      <c r="D79">
        <v>-6.544848625791222E-2</v>
      </c>
      <c r="E79">
        <v>4.5965495528227332E-2</v>
      </c>
      <c r="F79">
        <v>1.241326145220597</v>
      </c>
      <c r="G79">
        <v>-6.7941576227256606E-2</v>
      </c>
    </row>
    <row r="80" spans="1:7" x14ac:dyDescent="0.35">
      <c r="A80" s="1">
        <v>40421</v>
      </c>
      <c r="B80">
        <v>-1.667821480636265E-2</v>
      </c>
      <c r="C80">
        <v>1.378835108820339</v>
      </c>
      <c r="D80">
        <v>-8.1035137151714176E-2</v>
      </c>
      <c r="E80">
        <v>-1.441108148656762E-2</v>
      </c>
      <c r="F80">
        <v>1.223437292990416</v>
      </c>
      <c r="G80">
        <v>-8.1373546122487483E-2</v>
      </c>
    </row>
    <row r="81" spans="1:7" x14ac:dyDescent="0.35">
      <c r="A81" s="1">
        <v>40451</v>
      </c>
      <c r="B81">
        <v>3.7439046898796673E-2</v>
      </c>
      <c r="C81">
        <v>1.430457381125172</v>
      </c>
      <c r="D81">
        <v>-4.6629968553190897E-2</v>
      </c>
      <c r="E81">
        <v>5.2672998998429678E-2</v>
      </c>
      <c r="F81">
        <v>1.287879404298742</v>
      </c>
      <c r="G81">
        <v>-3.2986735837466363E-2</v>
      </c>
    </row>
    <row r="82" spans="1:7" x14ac:dyDescent="0.35">
      <c r="A82" s="1">
        <v>40482</v>
      </c>
      <c r="B82">
        <v>3.009746206015879E-2</v>
      </c>
      <c r="C82">
        <v>1.473510517882261</v>
      </c>
      <c r="D82">
        <v>-1.7935950202428219E-2</v>
      </c>
      <c r="E82">
        <v>2.2414356932892308E-2</v>
      </c>
      <c r="F82">
        <v>1.3167463929532139</v>
      </c>
      <c r="G82">
        <v>-1.1311755375685959E-2</v>
      </c>
    </row>
    <row r="83" spans="1:7" x14ac:dyDescent="0.35">
      <c r="A83" s="1">
        <v>40512</v>
      </c>
      <c r="B83">
        <v>-8.9777291466293637E-5</v>
      </c>
      <c r="C83">
        <v>1.4733782300990179</v>
      </c>
      <c r="D83">
        <v>-1.802411725286546E-2</v>
      </c>
      <c r="E83">
        <v>-3.2514009832445611E-3</v>
      </c>
      <c r="F83">
        <v>1.3124651224364829</v>
      </c>
      <c r="G83">
        <v>-1.452637730637996E-2</v>
      </c>
    </row>
    <row r="84" spans="1:7" x14ac:dyDescent="0.35">
      <c r="A84" s="1">
        <v>40543</v>
      </c>
      <c r="B84">
        <v>3.3942356495053741E-2</v>
      </c>
      <c r="C84">
        <v>1.5233881592370899</v>
      </c>
      <c r="D84">
        <v>0</v>
      </c>
      <c r="E84">
        <v>2.5088260033930838E-2</v>
      </c>
      <c r="F84">
        <v>1.345392588713634</v>
      </c>
      <c r="G84">
        <v>0</v>
      </c>
    </row>
    <row r="85" spans="1:7" x14ac:dyDescent="0.35">
      <c r="A85" s="1">
        <v>40574</v>
      </c>
      <c r="B85">
        <v>1.214089111025448E-2</v>
      </c>
      <c r="C85">
        <v>1.541883448997039</v>
      </c>
      <c r="D85">
        <v>0</v>
      </c>
      <c r="E85">
        <v>1.428125755206514E-2</v>
      </c>
      <c r="F85">
        <v>1.3646064867816929</v>
      </c>
      <c r="G85">
        <v>0</v>
      </c>
    </row>
    <row r="86" spans="1:7" x14ac:dyDescent="0.35">
      <c r="A86" s="1">
        <v>40602</v>
      </c>
      <c r="B86">
        <v>1.9247071706205848E-2</v>
      </c>
      <c r="C86">
        <v>1.5715601903024969</v>
      </c>
      <c r="D86">
        <v>0</v>
      </c>
      <c r="E86">
        <v>1.9576124242920379E-2</v>
      </c>
      <c r="F86">
        <v>1.3913201929096271</v>
      </c>
      <c r="G86">
        <v>0</v>
      </c>
    </row>
    <row r="87" spans="1:7" x14ac:dyDescent="0.35">
      <c r="A87" s="1">
        <v>40633</v>
      </c>
      <c r="B87">
        <v>4.6628650368798876E-3</v>
      </c>
      <c r="C87">
        <v>1.5788881633672101</v>
      </c>
      <c r="D87">
        <v>0</v>
      </c>
      <c r="E87">
        <v>8.9488619546440932E-5</v>
      </c>
      <c r="F87">
        <v>1.391444700233037</v>
      </c>
      <c r="G87">
        <v>0</v>
      </c>
    </row>
    <row r="88" spans="1:7" x14ac:dyDescent="0.35">
      <c r="A88" s="1">
        <v>40663</v>
      </c>
      <c r="B88">
        <v>2.20021391660047E-2</v>
      </c>
      <c r="C88">
        <v>1.613627080465174</v>
      </c>
      <c r="D88">
        <v>0</v>
      </c>
      <c r="E88">
        <v>2.4085332114124919E-2</v>
      </c>
      <c r="F88">
        <v>1.4249581079565889</v>
      </c>
      <c r="G88">
        <v>0</v>
      </c>
    </row>
    <row r="89" spans="1:7" x14ac:dyDescent="0.35">
      <c r="A89" s="1">
        <v>40694</v>
      </c>
      <c r="B89">
        <v>-2.538194155230543E-3</v>
      </c>
      <c r="C89">
        <v>1.609531381640815</v>
      </c>
      <c r="D89">
        <v>-2.5381941552304892E-3</v>
      </c>
      <c r="E89">
        <v>3.3909834497781541E-3</v>
      </c>
      <c r="F89">
        <v>1.4297901173172971</v>
      </c>
      <c r="G89">
        <v>0</v>
      </c>
    </row>
    <row r="90" spans="1:7" x14ac:dyDescent="0.35">
      <c r="A90" s="1">
        <v>40724</v>
      </c>
      <c r="B90">
        <v>-7.7587658935957173E-3</v>
      </c>
      <c r="C90">
        <v>1.597043404452269</v>
      </c>
      <c r="D90">
        <v>-1.0277266794583181E-2</v>
      </c>
      <c r="E90">
        <v>-1.16158811598298E-2</v>
      </c>
      <c r="F90">
        <v>1.4131818452310401</v>
      </c>
      <c r="G90">
        <v>-1.1615881159829811E-2</v>
      </c>
    </row>
    <row r="91" spans="1:7" x14ac:dyDescent="0.35">
      <c r="A91" s="1">
        <v>40755</v>
      </c>
      <c r="B91">
        <v>-4.232984550030728E-3</v>
      </c>
      <c r="C91">
        <v>1.5902831443954939</v>
      </c>
      <c r="D91">
        <v>-1.4466747833055901E-2</v>
      </c>
      <c r="E91">
        <v>-4.3367496717736852E-4</v>
      </c>
      <c r="F91">
        <v>1.4125689836406941</v>
      </c>
      <c r="G91">
        <v>-1.204451861012645E-2</v>
      </c>
    </row>
    <row r="92" spans="1:7" x14ac:dyDescent="0.35">
      <c r="A92" s="1">
        <v>40786</v>
      </c>
      <c r="B92">
        <v>-1.8375583088327679E-2</v>
      </c>
      <c r="C92">
        <v>1.5610607643416869</v>
      </c>
      <c r="D92">
        <v>-3.2576495994559362E-2</v>
      </c>
      <c r="E92">
        <v>-1.438003738137883E-2</v>
      </c>
      <c r="F92">
        <v>1.3922561888521641</v>
      </c>
      <c r="G92">
        <v>-2.6251355363650971E-2</v>
      </c>
    </row>
    <row r="93" spans="1:7" x14ac:dyDescent="0.35">
      <c r="A93" s="1">
        <v>40816</v>
      </c>
      <c r="B93">
        <v>-4.7415163871529178E-2</v>
      </c>
      <c r="C93">
        <v>1.4870428123870121</v>
      </c>
      <c r="D93">
        <v>-7.8447039970146237E-2</v>
      </c>
      <c r="E93">
        <v>-3.5475207165169033E-2</v>
      </c>
      <c r="F93">
        <v>1.342865612125645</v>
      </c>
      <c r="G93">
        <v>-6.0795290258928047E-2</v>
      </c>
    </row>
    <row r="94" spans="1:7" x14ac:dyDescent="0.35">
      <c r="A94" s="1">
        <v>40847</v>
      </c>
      <c r="B94">
        <v>5.5730329329534263E-2</v>
      </c>
      <c r="C94">
        <v>1.5699161980484571</v>
      </c>
      <c r="D94">
        <v>-2.708859001307529E-2</v>
      </c>
      <c r="E94">
        <v>5.8218992945805167E-2</v>
      </c>
      <c r="F94">
        <v>1.4210458957251519</v>
      </c>
      <c r="G94">
        <v>-6.1157378878455848E-3</v>
      </c>
    </row>
    <row r="95" spans="1:7" x14ac:dyDescent="0.35">
      <c r="A95" s="1">
        <v>40877</v>
      </c>
      <c r="B95">
        <v>9.8994781155124067E-3</v>
      </c>
      <c r="C95">
        <v>1.585457549094226</v>
      </c>
      <c r="D95">
        <v>-1.7457274801577442E-2</v>
      </c>
      <c r="E95">
        <v>2.7757864636568622E-3</v>
      </c>
      <c r="F95">
        <v>1.424990415686741</v>
      </c>
      <c r="G95">
        <v>-3.3569274066329591E-3</v>
      </c>
    </row>
    <row r="96" spans="1:7" x14ac:dyDescent="0.35">
      <c r="A96" s="1">
        <v>40908</v>
      </c>
      <c r="B96">
        <v>1.0633416010603899E-2</v>
      </c>
      <c r="C96">
        <v>1.6023163787808969</v>
      </c>
      <c r="D96">
        <v>-7.0094892563502542E-3</v>
      </c>
      <c r="E96">
        <v>1.3118269898441689E-2</v>
      </c>
      <c r="F96">
        <v>1.4436838245624131</v>
      </c>
      <c r="G96">
        <v>0</v>
      </c>
    </row>
    <row r="97" spans="1:7" x14ac:dyDescent="0.35">
      <c r="A97" s="1">
        <v>40939</v>
      </c>
      <c r="B97">
        <v>3.6212787999553901E-2</v>
      </c>
      <c r="C97">
        <v>1.660340722113903</v>
      </c>
      <c r="D97">
        <v>0</v>
      </c>
      <c r="E97">
        <v>3.046122932571111E-2</v>
      </c>
      <c r="F97">
        <v>1.4876602086162281</v>
      </c>
      <c r="G97">
        <v>0</v>
      </c>
    </row>
    <row r="98" spans="1:7" x14ac:dyDescent="0.35">
      <c r="A98" s="1">
        <v>40968</v>
      </c>
      <c r="B98">
        <v>1.8223434088100562E-2</v>
      </c>
      <c r="C98">
        <v>1.6905978318271351</v>
      </c>
      <c r="D98">
        <v>0</v>
      </c>
      <c r="E98">
        <v>2.178178852655004E-2</v>
      </c>
      <c r="F98">
        <v>1.52006410867967</v>
      </c>
      <c r="G98">
        <v>0</v>
      </c>
    </row>
    <row r="99" spans="1:7" x14ac:dyDescent="0.35">
      <c r="A99" s="1">
        <v>40999</v>
      </c>
      <c r="B99">
        <v>-1.442919303709214E-3</v>
      </c>
      <c r="C99">
        <v>1.6881584355807819</v>
      </c>
      <c r="D99">
        <v>-1.442919303709211E-3</v>
      </c>
      <c r="E99">
        <v>1.3085552487247149E-2</v>
      </c>
      <c r="F99">
        <v>1.539954987357778</v>
      </c>
      <c r="G99">
        <v>0</v>
      </c>
    </row>
    <row r="100" spans="1:7" x14ac:dyDescent="0.35">
      <c r="A100" s="1">
        <v>41029</v>
      </c>
      <c r="B100">
        <v>4.9276484391701748E-3</v>
      </c>
      <c r="C100">
        <v>1.696477086860944</v>
      </c>
      <c r="D100">
        <v>0</v>
      </c>
      <c r="E100">
        <v>6.2465531917427321E-3</v>
      </c>
      <c r="F100">
        <v>1.5495743980991989</v>
      </c>
      <c r="G100">
        <v>0</v>
      </c>
    </row>
    <row r="101" spans="1:7" x14ac:dyDescent="0.35">
      <c r="A101" s="1">
        <v>41060</v>
      </c>
      <c r="B101">
        <v>-2.5356874511262419E-2</v>
      </c>
      <c r="C101">
        <v>1.6534597302581791</v>
      </c>
      <c r="D101">
        <v>-2.5356874511262339E-2</v>
      </c>
      <c r="E101">
        <v>-2.592236232985036E-2</v>
      </c>
      <c r="F101">
        <v>1.509405769094611</v>
      </c>
      <c r="G101">
        <v>-2.592236232985046E-2</v>
      </c>
    </row>
    <row r="102" spans="1:7" x14ac:dyDescent="0.35">
      <c r="A102" s="1">
        <v>41090</v>
      </c>
      <c r="B102">
        <v>2.2486670511227831E-2</v>
      </c>
      <c r="C102">
        <v>1.6906405344160791</v>
      </c>
      <c r="D102">
        <v>-3.440395682363873E-3</v>
      </c>
      <c r="E102">
        <v>2.2847120907366531E-2</v>
      </c>
      <c r="F102">
        <v>1.543891345199393</v>
      </c>
      <c r="G102">
        <v>-3.6674927688383758E-3</v>
      </c>
    </row>
    <row r="103" spans="1:7" x14ac:dyDescent="0.35">
      <c r="A103" s="1">
        <v>41121</v>
      </c>
      <c r="B103">
        <v>1.8876352123811311E-2</v>
      </c>
      <c r="C103">
        <v>1.722553660458505</v>
      </c>
      <c r="D103">
        <v>0</v>
      </c>
      <c r="E103">
        <v>1.3777762475535801E-2</v>
      </c>
      <c r="F103">
        <v>1.5651627134415851</v>
      </c>
      <c r="G103">
        <v>0</v>
      </c>
    </row>
    <row r="104" spans="1:7" x14ac:dyDescent="0.35">
      <c r="A104" s="1">
        <v>41152</v>
      </c>
      <c r="B104">
        <v>1.287168297180102E-2</v>
      </c>
      <c r="C104">
        <v>1.7447258250778419</v>
      </c>
      <c r="D104">
        <v>0</v>
      </c>
      <c r="E104">
        <v>1.3022366707974971E-2</v>
      </c>
      <c r="F104">
        <v>1.585544836253671</v>
      </c>
      <c r="G104">
        <v>0</v>
      </c>
    </row>
    <row r="105" spans="1:7" x14ac:dyDescent="0.35">
      <c r="A105" s="1">
        <v>41182</v>
      </c>
      <c r="B105">
        <v>1.56198697218617E-2</v>
      </c>
      <c r="C105">
        <v>1.771978215165926</v>
      </c>
      <c r="D105">
        <v>0</v>
      </c>
      <c r="E105">
        <v>1.451252552714124E-2</v>
      </c>
      <c r="F105">
        <v>1.608555096164229</v>
      </c>
      <c r="G105">
        <v>0</v>
      </c>
    </row>
    <row r="106" spans="1:7" x14ac:dyDescent="0.35">
      <c r="A106" s="1">
        <v>41213</v>
      </c>
      <c r="B106">
        <v>-1.141220946383139E-2</v>
      </c>
      <c r="C106">
        <v>1.7517560286091061</v>
      </c>
      <c r="D106">
        <v>-1.141220946383137E-2</v>
      </c>
      <c r="E106">
        <v>-1.237879073869104E-2</v>
      </c>
      <c r="F106">
        <v>1.588643129237157</v>
      </c>
      <c r="G106">
        <v>-1.237879073869119E-2</v>
      </c>
    </row>
    <row r="107" spans="1:7" x14ac:dyDescent="0.35">
      <c r="A107" s="1">
        <v>41243</v>
      </c>
      <c r="B107">
        <v>1.7748679862329579E-2</v>
      </c>
      <c r="C107">
        <v>1.7828473855577951</v>
      </c>
      <c r="D107">
        <v>0</v>
      </c>
      <c r="E107">
        <v>7.5037394436515241E-3</v>
      </c>
      <c r="F107">
        <v>1.6005638933479001</v>
      </c>
      <c r="G107">
        <v>-4.9679385153702524E-3</v>
      </c>
    </row>
    <row r="108" spans="1:7" x14ac:dyDescent="0.35">
      <c r="A108" s="1">
        <v>41274</v>
      </c>
      <c r="B108">
        <v>5.5278984208718984E-4</v>
      </c>
      <c r="C108">
        <v>1.7838329254825229</v>
      </c>
      <c r="D108">
        <v>0</v>
      </c>
      <c r="E108">
        <v>2.2103092106705389E-3</v>
      </c>
      <c r="F108">
        <v>1.604101634463633</v>
      </c>
      <c r="G108">
        <v>-2.768609984958426E-3</v>
      </c>
    </row>
    <row r="109" spans="1:7" x14ac:dyDescent="0.35">
      <c r="A109" s="1">
        <v>41305</v>
      </c>
      <c r="B109">
        <v>2.6103289876955409E-2</v>
      </c>
      <c r="C109">
        <v>1.8303968334284511</v>
      </c>
      <c r="D109">
        <v>0</v>
      </c>
      <c r="E109">
        <v>2.4437668588325249E-2</v>
      </c>
      <c r="F109">
        <v>1.6433021385886459</v>
      </c>
      <c r="G109">
        <v>0</v>
      </c>
    </row>
    <row r="110" spans="1:7" x14ac:dyDescent="0.35">
      <c r="A110" s="1">
        <v>41333</v>
      </c>
      <c r="B110">
        <v>1.3493463039746431E-2</v>
      </c>
      <c r="C110">
        <v>1.855095225448387</v>
      </c>
      <c r="D110">
        <v>0</v>
      </c>
      <c r="E110">
        <v>1.259202387702329E-2</v>
      </c>
      <c r="F110">
        <v>1.6639946383549169</v>
      </c>
      <c r="G110">
        <v>0</v>
      </c>
    </row>
    <row r="111" spans="1:7" x14ac:dyDescent="0.35">
      <c r="A111" s="1">
        <v>41364</v>
      </c>
      <c r="B111">
        <v>2.658401570164818E-2</v>
      </c>
      <c r="C111">
        <v>1.9044111060497591</v>
      </c>
      <c r="D111">
        <v>0</v>
      </c>
      <c r="E111">
        <v>2.4118664530710699E-2</v>
      </c>
      <c r="F111">
        <v>1.7041279668183009</v>
      </c>
      <c r="G111">
        <v>0</v>
      </c>
    </row>
    <row r="112" spans="1:7" x14ac:dyDescent="0.35">
      <c r="A112" s="1">
        <v>41394</v>
      </c>
      <c r="B112">
        <v>2.1697077514403241E-2</v>
      </c>
      <c r="C112">
        <v>1.945731261437011</v>
      </c>
      <c r="D112">
        <v>0</v>
      </c>
      <c r="E112">
        <v>1.7276037276980408E-2</v>
      </c>
      <c r="F112">
        <v>1.7335685450977989</v>
      </c>
      <c r="G112">
        <v>0</v>
      </c>
    </row>
    <row r="113" spans="1:7" x14ac:dyDescent="0.35">
      <c r="A113" s="1">
        <v>41425</v>
      </c>
      <c r="B113">
        <v>2.5830621564370492E-3</v>
      </c>
      <c r="C113">
        <v>1.950757206225026</v>
      </c>
      <c r="D113">
        <v>0</v>
      </c>
      <c r="E113">
        <v>9.1830473923088559E-4</v>
      </c>
      <c r="F113">
        <v>1.7351604893085439</v>
      </c>
      <c r="G113">
        <v>0</v>
      </c>
    </row>
    <row r="114" spans="1:7" x14ac:dyDescent="0.35">
      <c r="A114" s="1">
        <v>41455</v>
      </c>
      <c r="B114">
        <v>-9.1745054195523923E-3</v>
      </c>
      <c r="C114">
        <v>1.9328599736642831</v>
      </c>
      <c r="D114">
        <v>-9.1745054195524478E-3</v>
      </c>
      <c r="E114">
        <v>-1.7735519728718931E-2</v>
      </c>
      <c r="F114">
        <v>1.704386516217919</v>
      </c>
      <c r="G114">
        <v>-1.7735519728718899E-2</v>
      </c>
    </row>
    <row r="115" spans="1:7" x14ac:dyDescent="0.35">
      <c r="A115" s="1">
        <v>41486</v>
      </c>
      <c r="B115">
        <v>2.9224291528216428E-2</v>
      </c>
      <c r="C115">
        <v>1.9893464370178691</v>
      </c>
      <c r="D115">
        <v>0</v>
      </c>
      <c r="E115">
        <v>2.853079319689851E-2</v>
      </c>
      <c r="F115">
        <v>1.7530140154397149</v>
      </c>
      <c r="G115">
        <v>0</v>
      </c>
    </row>
    <row r="116" spans="1:7" x14ac:dyDescent="0.35">
      <c r="A116" s="1">
        <v>41517</v>
      </c>
      <c r="B116">
        <v>-2.165587766543153E-2</v>
      </c>
      <c r="C116">
        <v>1.9462653939436481</v>
      </c>
      <c r="D116">
        <v>-2.165587766543153E-2</v>
      </c>
      <c r="E116">
        <v>-2.185563693276138E-2</v>
      </c>
      <c r="F116">
        <v>1.7147007775802221</v>
      </c>
      <c r="G116">
        <v>-2.185563693276138E-2</v>
      </c>
    </row>
    <row r="117" spans="1:7" x14ac:dyDescent="0.35">
      <c r="A117" s="1">
        <v>41547</v>
      </c>
      <c r="B117">
        <v>3.3957069160613237E-2</v>
      </c>
      <c r="C117">
        <v>2.0123548625307</v>
      </c>
      <c r="D117">
        <v>0</v>
      </c>
      <c r="E117">
        <v>2.4925432205685241E-2</v>
      </c>
      <c r="F117">
        <v>1.7574404355648341</v>
      </c>
      <c r="G117">
        <v>0</v>
      </c>
    </row>
    <row r="118" spans="1:7" x14ac:dyDescent="0.35">
      <c r="A118" s="1">
        <v>41578</v>
      </c>
      <c r="B118">
        <v>3.0872732456758031E-2</v>
      </c>
      <c r="C118">
        <v>2.074481755809666</v>
      </c>
      <c r="D118">
        <v>0</v>
      </c>
      <c r="E118">
        <v>3.093836459648542E-2</v>
      </c>
      <c r="F118">
        <v>1.8118127685169449</v>
      </c>
      <c r="G118">
        <v>0</v>
      </c>
    </row>
    <row r="119" spans="1:7" x14ac:dyDescent="0.35">
      <c r="A119" s="1">
        <v>41608</v>
      </c>
      <c r="B119">
        <v>1.6041255844185271E-2</v>
      </c>
      <c r="C119">
        <v>2.1077590483987039</v>
      </c>
      <c r="D119">
        <v>0</v>
      </c>
      <c r="E119">
        <v>1.4522322290689151E-2</v>
      </c>
      <c r="F119">
        <v>1.8381244974717339</v>
      </c>
      <c r="G119">
        <v>0</v>
      </c>
    </row>
    <row r="120" spans="1:7" x14ac:dyDescent="0.35">
      <c r="A120" s="1">
        <v>41639</v>
      </c>
      <c r="B120">
        <v>6.3270871972983794E-3</v>
      </c>
      <c r="C120">
        <v>2.121095023688818</v>
      </c>
      <c r="D120">
        <v>0</v>
      </c>
      <c r="E120">
        <v>7.2575251053699028E-3</v>
      </c>
      <c r="F120">
        <v>1.8514647321589299</v>
      </c>
      <c r="G120">
        <v>0</v>
      </c>
    </row>
    <row r="121" spans="1:7" x14ac:dyDescent="0.35">
      <c r="A121" s="1">
        <v>41670</v>
      </c>
      <c r="B121">
        <v>-2.097604507575496E-2</v>
      </c>
      <c r="C121">
        <v>2.076602838861962</v>
      </c>
      <c r="D121">
        <v>-2.097604507575512E-2</v>
      </c>
      <c r="E121">
        <v>-1.0451693898273769E-2</v>
      </c>
      <c r="F121">
        <v>1.832113789514956</v>
      </c>
      <c r="G121">
        <v>-1.045169389827383E-2</v>
      </c>
    </row>
    <row r="122" spans="1:7" x14ac:dyDescent="0.35">
      <c r="A122" s="1">
        <v>41698</v>
      </c>
      <c r="B122">
        <v>3.6108561171114009E-2</v>
      </c>
      <c r="C122">
        <v>2.1515859794971179</v>
      </c>
      <c r="D122">
        <v>0</v>
      </c>
      <c r="E122">
        <v>2.934243115510415E-2</v>
      </c>
      <c r="F122">
        <v>1.885872462252115</v>
      </c>
      <c r="G122">
        <v>0</v>
      </c>
    </row>
    <row r="123" spans="1:7" x14ac:dyDescent="0.35">
      <c r="A123" s="1">
        <v>41729</v>
      </c>
      <c r="B123">
        <v>-1.144694842980588E-2</v>
      </c>
      <c r="C123">
        <v>2.126956885747521</v>
      </c>
      <c r="D123">
        <v>-1.1446948429805979E-2</v>
      </c>
      <c r="E123">
        <v>2.7755197124232768E-3</v>
      </c>
      <c r="F123">
        <v>1.8911067384462119</v>
      </c>
      <c r="G123">
        <v>0</v>
      </c>
    </row>
    <row r="124" spans="1:7" x14ac:dyDescent="0.35">
      <c r="A124" s="1">
        <v>41759</v>
      </c>
      <c r="B124">
        <v>-3.4474419900550599E-4</v>
      </c>
      <c r="C124">
        <v>2.126223629699624</v>
      </c>
      <c r="D124">
        <v>-1.1787746359744109E-2</v>
      </c>
      <c r="E124">
        <v>7.7248670806327347E-3</v>
      </c>
      <c r="F124">
        <v>1.905715286635997</v>
      </c>
      <c r="G124">
        <v>0</v>
      </c>
    </row>
    <row r="125" spans="1:7" x14ac:dyDescent="0.35">
      <c r="A125" s="1">
        <v>41790</v>
      </c>
      <c r="B125">
        <v>2.3695697074531091E-2</v>
      </c>
      <c r="C125">
        <v>2.1766059807416971</v>
      </c>
      <c r="D125">
        <v>0</v>
      </c>
      <c r="E125">
        <v>2.1674789879377081E-2</v>
      </c>
      <c r="F125">
        <v>1.9470212650437491</v>
      </c>
      <c r="G125">
        <v>0</v>
      </c>
    </row>
    <row r="126" spans="1:7" x14ac:dyDescent="0.35">
      <c r="A126" s="1">
        <v>41820</v>
      </c>
      <c r="B126">
        <v>1.089108652963971E-2</v>
      </c>
      <c r="C126">
        <v>2.200311584818885</v>
      </c>
      <c r="D126">
        <v>0</v>
      </c>
      <c r="E126">
        <v>1.137170935095198E-2</v>
      </c>
      <c r="F126">
        <v>1.9691622249699501</v>
      </c>
      <c r="G126">
        <v>0</v>
      </c>
    </row>
    <row r="127" spans="1:7" x14ac:dyDescent="0.35">
      <c r="A127" s="1">
        <v>41851</v>
      </c>
      <c r="B127">
        <v>-9.0439420335608391E-3</v>
      </c>
      <c r="C127">
        <v>2.1804120943900109</v>
      </c>
      <c r="D127">
        <v>-9.0439420335608478E-3</v>
      </c>
      <c r="E127">
        <v>-9.4426575544035614E-3</v>
      </c>
      <c r="F127">
        <v>1.9505681004104909</v>
      </c>
      <c r="G127">
        <v>-9.442657554403544E-3</v>
      </c>
    </row>
    <row r="128" spans="1:7" x14ac:dyDescent="0.35">
      <c r="A128" s="1">
        <v>41882</v>
      </c>
      <c r="B128">
        <v>3.303263088928686E-2</v>
      </c>
      <c r="C128">
        <v>2.2524368422905332</v>
      </c>
      <c r="D128">
        <v>0</v>
      </c>
      <c r="E128">
        <v>3.1350998385031997E-2</v>
      </c>
      <c r="F128">
        <v>2.0117203577763552</v>
      </c>
      <c r="G128">
        <v>0</v>
      </c>
    </row>
    <row r="129" spans="1:7" x14ac:dyDescent="0.35">
      <c r="A129" s="1">
        <v>41912</v>
      </c>
      <c r="B129">
        <v>-1.7948029264850111E-2</v>
      </c>
      <c r="C129">
        <v>2.2120100399278759</v>
      </c>
      <c r="D129">
        <v>-1.7948029264850059E-2</v>
      </c>
      <c r="E129">
        <v>-1.270055598761769E-2</v>
      </c>
      <c r="F129">
        <v>1.986170390740986</v>
      </c>
      <c r="G129">
        <v>-1.270055598761766E-2</v>
      </c>
    </row>
    <row r="130" spans="1:7" x14ac:dyDescent="0.35">
      <c r="A130" s="1">
        <v>41943</v>
      </c>
      <c r="B130">
        <v>1.9895993816387469E-2</v>
      </c>
      <c r="C130">
        <v>2.2560201780040678</v>
      </c>
      <c r="D130">
        <v>0</v>
      </c>
      <c r="E130">
        <v>2.1142585052064889E-2</v>
      </c>
      <c r="F130">
        <v>2.028163167155121</v>
      </c>
      <c r="G130">
        <v>0</v>
      </c>
    </row>
    <row r="131" spans="1:7" x14ac:dyDescent="0.35">
      <c r="A131" s="1">
        <v>41973</v>
      </c>
      <c r="B131">
        <v>3.1585836712823938E-2</v>
      </c>
      <c r="C131">
        <v>2.3272784629673402</v>
      </c>
      <c r="D131">
        <v>0</v>
      </c>
      <c r="E131">
        <v>2.1300479868715898E-2</v>
      </c>
      <c r="F131">
        <v>2.0713640158675788</v>
      </c>
      <c r="G131">
        <v>0</v>
      </c>
    </row>
    <row r="132" spans="1:7" x14ac:dyDescent="0.35">
      <c r="A132" s="1">
        <v>42004</v>
      </c>
      <c r="B132">
        <v>3.7392464849730178E-3</v>
      </c>
      <c r="C132">
        <v>2.3359807307795442</v>
      </c>
      <c r="D132">
        <v>0</v>
      </c>
      <c r="E132">
        <v>-7.9819428103747141E-4</v>
      </c>
      <c r="F132">
        <v>2.0697106649561672</v>
      </c>
      <c r="G132">
        <v>-7.9819428103733436E-4</v>
      </c>
    </row>
    <row r="133" spans="1:7" x14ac:dyDescent="0.35">
      <c r="A133" s="1">
        <v>42035</v>
      </c>
      <c r="B133">
        <v>-2.3573671717706472E-3</v>
      </c>
      <c r="C133">
        <v>2.3304739664909162</v>
      </c>
      <c r="D133">
        <v>-2.3573671717705968E-3</v>
      </c>
      <c r="E133">
        <v>-2.363404052275355E-3</v>
      </c>
      <c r="F133">
        <v>2.0648191023835718</v>
      </c>
      <c r="G133">
        <v>-3.1597118777143551E-3</v>
      </c>
    </row>
    <row r="134" spans="1:7" x14ac:dyDescent="0.35">
      <c r="A134" s="1">
        <v>42063</v>
      </c>
      <c r="B134">
        <v>3.3559398939381889E-2</v>
      </c>
      <c r="C134">
        <v>2.408683272050228</v>
      </c>
      <c r="D134">
        <v>0</v>
      </c>
      <c r="E134">
        <v>2.4471505922018109E-2</v>
      </c>
      <c r="F134">
        <v>2.1153483352754479</v>
      </c>
      <c r="G134">
        <v>0</v>
      </c>
    </row>
    <row r="135" spans="1:7" x14ac:dyDescent="0.35">
      <c r="A135" s="1">
        <v>42094</v>
      </c>
      <c r="B135">
        <v>-4.2259191136985209E-3</v>
      </c>
      <c r="C135">
        <v>2.3985043713720251</v>
      </c>
      <c r="D135">
        <v>-4.2259191136985166E-3</v>
      </c>
      <c r="E135">
        <v>-6.1028891886888868E-3</v>
      </c>
      <c r="F135">
        <v>2.1024385987897851</v>
      </c>
      <c r="G135">
        <v>-6.1028891886889536E-3</v>
      </c>
    </row>
    <row r="136" spans="1:7" x14ac:dyDescent="0.35">
      <c r="A136" s="1">
        <v>42124</v>
      </c>
      <c r="B136">
        <v>-7.3945498598849751E-4</v>
      </c>
      <c r="C136">
        <v>2.3967307853556989</v>
      </c>
      <c r="D136">
        <v>-4.9622492227279213E-3</v>
      </c>
      <c r="E136">
        <v>3.2844857434753622E-3</v>
      </c>
      <c r="F136">
        <v>2.1093440283940419</v>
      </c>
      <c r="G136">
        <v>-2.8384482977479308E-3</v>
      </c>
    </row>
    <row r="137" spans="1:7" x14ac:dyDescent="0.35">
      <c r="A137" s="1">
        <v>42155</v>
      </c>
      <c r="B137">
        <v>7.0475809434649263E-3</v>
      </c>
      <c r="C137">
        <v>2.413621939565187</v>
      </c>
      <c r="D137">
        <v>0</v>
      </c>
      <c r="E137">
        <v>6.9428482792675611E-3</v>
      </c>
      <c r="F137">
        <v>2.1239888839519612</v>
      </c>
      <c r="G137">
        <v>0</v>
      </c>
    </row>
    <row r="138" spans="1:7" x14ac:dyDescent="0.35">
      <c r="A138" s="1">
        <v>42185</v>
      </c>
      <c r="B138">
        <v>-1.7931356839584429E-2</v>
      </c>
      <c r="C138">
        <v>2.3703424232909942</v>
      </c>
      <c r="D138">
        <v>-1.793135683958447E-2</v>
      </c>
      <c r="E138">
        <v>-1.8210041232128681E-2</v>
      </c>
      <c r="F138">
        <v>2.0853109587986132</v>
      </c>
      <c r="G138">
        <v>-1.8210041232128549E-2</v>
      </c>
    </row>
    <row r="139" spans="1:7" x14ac:dyDescent="0.35">
      <c r="A139" s="1">
        <v>42216</v>
      </c>
      <c r="B139">
        <v>1.7609862944294421E-2</v>
      </c>
      <c r="C139">
        <v>2.4120838284961952</v>
      </c>
      <c r="D139">
        <v>-6.3726263164032293E-4</v>
      </c>
      <c r="E139">
        <v>1.7448873507156029E-2</v>
      </c>
      <c r="F139">
        <v>2.1216972859417762</v>
      </c>
      <c r="G139">
        <v>-1.0789124309920071E-3</v>
      </c>
    </row>
    <row r="140" spans="1:7" x14ac:dyDescent="0.35">
      <c r="A140" s="1">
        <v>42247</v>
      </c>
      <c r="B140">
        <v>-3.6310561123203099E-2</v>
      </c>
      <c r="C140">
        <v>2.3244997112072938</v>
      </c>
      <c r="D140">
        <v>-3.6924684391105862E-2</v>
      </c>
      <c r="E140">
        <v>-3.5653678108707468E-2</v>
      </c>
      <c r="F140">
        <v>2.0460509738646899</v>
      </c>
      <c r="G140">
        <v>-3.6694123343177343E-2</v>
      </c>
    </row>
    <row r="141" spans="1:7" x14ac:dyDescent="0.35">
      <c r="A141" s="1">
        <v>42277</v>
      </c>
      <c r="B141">
        <v>-1.193571228573855E-2</v>
      </c>
      <c r="C141">
        <v>2.296755151446042</v>
      </c>
      <c r="D141">
        <v>-4.8419674267710433E-2</v>
      </c>
      <c r="E141">
        <v>-9.1494248701240646E-3</v>
      </c>
      <c r="F141">
        <v>2.0273307841988708</v>
      </c>
      <c r="G141">
        <v>-4.550781808859794E-2</v>
      </c>
    </row>
    <row r="142" spans="1:7" x14ac:dyDescent="0.35">
      <c r="A142" s="1">
        <v>42308</v>
      </c>
      <c r="B142">
        <v>4.6570842900747832E-2</v>
      </c>
      <c r="C142">
        <v>2.4037169747855192</v>
      </c>
      <c r="D142">
        <v>-4.1037764105894547E-3</v>
      </c>
      <c r="E142">
        <v>4.7252889265197461E-2</v>
      </c>
      <c r="F142">
        <v>2.1231280212485459</v>
      </c>
      <c r="G142">
        <v>-4.0530471224153869E-4</v>
      </c>
    </row>
    <row r="143" spans="1:7" x14ac:dyDescent="0.35">
      <c r="A143" s="1">
        <v>42338</v>
      </c>
      <c r="B143">
        <v>-9.4483294979982101E-5</v>
      </c>
      <c r="C143">
        <v>2.4034898636855422</v>
      </c>
      <c r="D143">
        <v>-4.1978719672522979E-3</v>
      </c>
      <c r="E143">
        <v>9.2671575032145958E-5</v>
      </c>
      <c r="F143">
        <v>2.12332477486627</v>
      </c>
      <c r="G143">
        <v>-3.1267069743534659E-4</v>
      </c>
    </row>
    <row r="144" spans="1:7" x14ac:dyDescent="0.35">
      <c r="A144" s="1">
        <v>42369</v>
      </c>
      <c r="B144">
        <v>-9.5491128978326054E-3</v>
      </c>
      <c r="C144">
        <v>2.3805386676284122</v>
      </c>
      <c r="D144">
        <v>-1.3706898911738929E-2</v>
      </c>
      <c r="E144">
        <v>-1.079213135544045E-2</v>
      </c>
      <c r="F144">
        <v>2.1004095749856528</v>
      </c>
      <c r="G144">
        <v>-1.1101427669638061E-2</v>
      </c>
    </row>
    <row r="145" spans="1:7" x14ac:dyDescent="0.35">
      <c r="A145" s="1">
        <v>42400</v>
      </c>
      <c r="B145">
        <v>-1.9055807239658822E-2</v>
      </c>
      <c r="C145">
        <v>2.3351755816515309</v>
      </c>
      <c r="D145">
        <v>-3.2501510127882161E-2</v>
      </c>
      <c r="E145">
        <v>-1.7938242644722921E-2</v>
      </c>
      <c r="F145">
        <v>2.0627319183762611</v>
      </c>
      <c r="G145">
        <v>-2.8840530211119989E-2</v>
      </c>
    </row>
    <row r="146" spans="1:7" x14ac:dyDescent="0.35">
      <c r="A146" s="1">
        <v>42429</v>
      </c>
      <c r="B146">
        <v>5.4536061937562356E-3</v>
      </c>
      <c r="C146">
        <v>2.3479107096671341</v>
      </c>
      <c r="D146">
        <v>-2.7225154371065759E-2</v>
      </c>
      <c r="E146">
        <v>5.1313561739736559E-3</v>
      </c>
      <c r="F146">
        <v>2.0733165305408741</v>
      </c>
      <c r="G146">
        <v>-2.3857165069905869E-2</v>
      </c>
    </row>
    <row r="147" spans="1:7" x14ac:dyDescent="0.35">
      <c r="A147" s="1">
        <v>42460</v>
      </c>
      <c r="B147">
        <v>3.7144042365206173E-2</v>
      </c>
      <c r="C147">
        <v>2.435121604536731</v>
      </c>
      <c r="D147">
        <v>0</v>
      </c>
      <c r="E147">
        <v>4.0067212888429952E-2</v>
      </c>
      <c r="F147">
        <v>2.156388545355155</v>
      </c>
      <c r="G147">
        <v>0</v>
      </c>
    </row>
    <row r="148" spans="1:7" x14ac:dyDescent="0.35">
      <c r="A148" s="1">
        <v>42490</v>
      </c>
      <c r="B148">
        <v>3.1170677997205548E-3</v>
      </c>
      <c r="C148">
        <v>2.442712043678636</v>
      </c>
      <c r="D148">
        <v>0</v>
      </c>
      <c r="E148">
        <v>2.0102551241191879E-3</v>
      </c>
      <c r="F148">
        <v>2.1607234364780479</v>
      </c>
      <c r="G148">
        <v>0</v>
      </c>
    </row>
    <row r="149" spans="1:7" x14ac:dyDescent="0.35">
      <c r="A149" s="1">
        <v>42521</v>
      </c>
      <c r="B149">
        <v>1.0594171537629029E-2</v>
      </c>
      <c r="C149">
        <v>2.4685905540864002</v>
      </c>
      <c r="D149">
        <v>0</v>
      </c>
      <c r="E149">
        <v>1.037423155863346E-2</v>
      </c>
      <c r="F149">
        <v>2.1831392817422368</v>
      </c>
      <c r="G149">
        <v>0</v>
      </c>
    </row>
    <row r="150" spans="1:7" x14ac:dyDescent="0.35">
      <c r="A150" s="1">
        <v>42551</v>
      </c>
      <c r="B150">
        <v>1.356720882754271E-2</v>
      </c>
      <c r="C150">
        <v>2.5020824376433888</v>
      </c>
      <c r="D150">
        <v>0</v>
      </c>
      <c r="E150">
        <v>1.319294479294373E-2</v>
      </c>
      <c r="F150">
        <v>2.211941317761569</v>
      </c>
      <c r="G150">
        <v>0</v>
      </c>
    </row>
    <row r="151" spans="1:7" x14ac:dyDescent="0.35">
      <c r="A151" s="1">
        <v>42582</v>
      </c>
      <c r="B151">
        <v>2.3963410416334499E-2</v>
      </c>
      <c r="C151">
        <v>2.5620408659921399</v>
      </c>
      <c r="D151">
        <v>0</v>
      </c>
      <c r="E151">
        <v>2.3268666389090611E-2</v>
      </c>
      <c r="F151">
        <v>2.2634102423568092</v>
      </c>
      <c r="G151">
        <v>0</v>
      </c>
    </row>
    <row r="152" spans="1:7" x14ac:dyDescent="0.35">
      <c r="A152" s="1">
        <v>42613</v>
      </c>
      <c r="B152">
        <v>-4.102041931273598E-3</v>
      </c>
      <c r="C152">
        <v>2.5515312669302039</v>
      </c>
      <c r="D152">
        <v>-4.1020419312736136E-3</v>
      </c>
      <c r="E152">
        <v>-2.6204089077406911E-3</v>
      </c>
      <c r="F152">
        <v>2.2574791819958659</v>
      </c>
      <c r="G152">
        <v>-2.620408907740623E-3</v>
      </c>
    </row>
    <row r="153" spans="1:7" x14ac:dyDescent="0.35">
      <c r="A153" s="1">
        <v>42643</v>
      </c>
      <c r="B153">
        <v>-4.8161760485241542E-6</v>
      </c>
      <c r="C153">
        <v>2.5515189783064289</v>
      </c>
      <c r="D153">
        <v>-4.1068383511660977E-3</v>
      </c>
      <c r="E153">
        <v>2.2305139378402759E-4</v>
      </c>
      <c r="F153">
        <v>2.2579827158738479</v>
      </c>
      <c r="G153">
        <v>-2.3979419998159108E-3</v>
      </c>
    </row>
    <row r="154" spans="1:7" x14ac:dyDescent="0.35">
      <c r="A154" s="1">
        <v>42674</v>
      </c>
      <c r="B154">
        <v>-2.327586300235196E-2</v>
      </c>
      <c r="C154">
        <v>2.492130172119468</v>
      </c>
      <c r="D154">
        <v>-2.728711114668347E-2</v>
      </c>
      <c r="E154">
        <v>-1.665283044386338E-2</v>
      </c>
      <c r="F154">
        <v>2.220380912561227</v>
      </c>
      <c r="G154">
        <v>-1.9010839922142139E-2</v>
      </c>
    </row>
    <row r="155" spans="1:7" x14ac:dyDescent="0.35">
      <c r="A155" s="1">
        <v>42704</v>
      </c>
      <c r="B155">
        <v>3.0857903083091071E-2</v>
      </c>
      <c r="C155">
        <v>2.5690320834411771</v>
      </c>
      <c r="D155">
        <v>0</v>
      </c>
      <c r="E155">
        <v>5.3875899063243601E-3</v>
      </c>
      <c r="F155">
        <v>2.2323434143539371</v>
      </c>
      <c r="G155">
        <v>-1.372567262509305E-2</v>
      </c>
    </row>
    <row r="156" spans="1:7" x14ac:dyDescent="0.35">
      <c r="A156" s="1">
        <v>42735</v>
      </c>
      <c r="B156">
        <v>1.270257751867966E-2</v>
      </c>
      <c r="C156">
        <v>2.6016654126290639</v>
      </c>
      <c r="D156">
        <v>0</v>
      </c>
      <c r="E156">
        <v>1.111904904073524E-2</v>
      </c>
      <c r="F156">
        <v>2.2571649502539008</v>
      </c>
      <c r="G156">
        <v>-2.7592400113931599E-3</v>
      </c>
    </row>
    <row r="157" spans="1:7" x14ac:dyDescent="0.35">
      <c r="A157" s="1">
        <v>42766</v>
      </c>
      <c r="B157">
        <v>5.939830252193341E-3</v>
      </c>
      <c r="C157">
        <v>2.6171188635530829</v>
      </c>
      <c r="D157">
        <v>0</v>
      </c>
      <c r="E157">
        <v>1.1921289665432379E-2</v>
      </c>
      <c r="F157">
        <v>2.2840732674485391</v>
      </c>
      <c r="G157">
        <v>0</v>
      </c>
    </row>
    <row r="158" spans="1:7" x14ac:dyDescent="0.35">
      <c r="A158" s="1">
        <v>42794</v>
      </c>
      <c r="B158">
        <v>3.079456099688949E-2</v>
      </c>
      <c r="C158">
        <v>2.6977118900328789</v>
      </c>
      <c r="D158">
        <v>0</v>
      </c>
      <c r="E158">
        <v>2.6770939428132631E-2</v>
      </c>
      <c r="F158">
        <v>2.3452200545408202</v>
      </c>
      <c r="G158">
        <v>0</v>
      </c>
    </row>
    <row r="159" spans="1:7" x14ac:dyDescent="0.35">
      <c r="A159" s="1">
        <v>42825</v>
      </c>
      <c r="B159">
        <v>-7.8540083638252087E-3</v>
      </c>
      <c r="C159">
        <v>2.6765240382853701</v>
      </c>
      <c r="D159">
        <v>-7.8540083638252156E-3</v>
      </c>
      <c r="E159">
        <v>8.2407797691078956E-4</v>
      </c>
      <c r="F159">
        <v>2.347152698738777</v>
      </c>
      <c r="G159">
        <v>0</v>
      </c>
    </row>
    <row r="160" spans="1:7" x14ac:dyDescent="0.35">
      <c r="A160" s="1">
        <v>42855</v>
      </c>
      <c r="B160">
        <v>1.03847659629299E-2</v>
      </c>
      <c r="C160">
        <v>2.7043191140171201</v>
      </c>
      <c r="D160">
        <v>0</v>
      </c>
      <c r="E160">
        <v>1.0662925028470979E-2</v>
      </c>
      <c r="F160">
        <v>2.372180211995802</v>
      </c>
      <c r="G160">
        <v>0</v>
      </c>
    </row>
    <row r="161" spans="1:7" x14ac:dyDescent="0.35">
      <c r="A161" s="1">
        <v>42886</v>
      </c>
      <c r="B161">
        <v>8.0408937562332777E-3</v>
      </c>
      <c r="C161">
        <v>2.7260642566958819</v>
      </c>
      <c r="D161">
        <v>0</v>
      </c>
      <c r="E161">
        <v>1.19085458956836E-2</v>
      </c>
      <c r="F161">
        <v>2.4004294289231858</v>
      </c>
      <c r="G161">
        <v>0</v>
      </c>
    </row>
    <row r="162" spans="1:7" x14ac:dyDescent="0.35">
      <c r="A162" s="1">
        <v>42916</v>
      </c>
      <c r="B162">
        <v>1.208112734389767E-3</v>
      </c>
      <c r="C162">
        <v>2.7293576496391609</v>
      </c>
      <c r="D162">
        <v>0</v>
      </c>
      <c r="E162">
        <v>1.367656693611297E-3</v>
      </c>
      <c r="F162">
        <v>2.403712392299195</v>
      </c>
      <c r="G162">
        <v>0</v>
      </c>
    </row>
    <row r="163" spans="1:7" x14ac:dyDescent="0.35">
      <c r="A163" s="1">
        <v>42947</v>
      </c>
      <c r="B163">
        <v>1.215289101267081E-2</v>
      </c>
      <c r="C163">
        <v>2.7625272356898249</v>
      </c>
      <c r="D163">
        <v>0</v>
      </c>
      <c r="E163">
        <v>1.3822086308624941E-2</v>
      </c>
      <c r="F163">
        <v>2.436936712446665</v>
      </c>
      <c r="G163">
        <v>0</v>
      </c>
    </row>
    <row r="164" spans="1:7" x14ac:dyDescent="0.35">
      <c r="A164" s="1">
        <v>42978</v>
      </c>
      <c r="B164">
        <v>7.315326167898116E-3</v>
      </c>
      <c r="C164">
        <v>2.7827360234665992</v>
      </c>
      <c r="D164">
        <v>0</v>
      </c>
      <c r="E164">
        <v>7.6847405543544753E-3</v>
      </c>
      <c r="F164">
        <v>2.4556639388292001</v>
      </c>
      <c r="G164">
        <v>0</v>
      </c>
    </row>
    <row r="165" spans="1:7" x14ac:dyDescent="0.35">
      <c r="A165" s="1">
        <v>43008</v>
      </c>
      <c r="B165">
        <v>6.7335892330321794E-3</v>
      </c>
      <c r="C165">
        <v>2.801473824792585</v>
      </c>
      <c r="D165">
        <v>0</v>
      </c>
      <c r="E165">
        <v>6.7335892330321794E-3</v>
      </c>
      <c r="F165">
        <v>2.4721993710876449</v>
      </c>
      <c r="G165">
        <v>0</v>
      </c>
    </row>
    <row r="166" spans="1:7" x14ac:dyDescent="0.35">
      <c r="A166" s="1">
        <v>43039</v>
      </c>
      <c r="B166">
        <v>1.319651995264625E-2</v>
      </c>
      <c r="C166">
        <v>2.8384435300182762</v>
      </c>
      <c r="D166">
        <v>0</v>
      </c>
      <c r="E166">
        <v>1.319651995264625E-2</v>
      </c>
      <c r="F166">
        <v>2.504823799415123</v>
      </c>
      <c r="G166">
        <v>0</v>
      </c>
    </row>
    <row r="167" spans="1:7" x14ac:dyDescent="0.35">
      <c r="A167" s="1">
        <v>43069</v>
      </c>
      <c r="B167">
        <v>1.625015567715974E-2</v>
      </c>
      <c r="C167">
        <v>2.8845686792618999</v>
      </c>
      <c r="D167">
        <v>0</v>
      </c>
      <c r="E167">
        <v>1.7124443697913359E-2</v>
      </c>
      <c r="F167">
        <v>2.547717513541401</v>
      </c>
      <c r="G167">
        <v>0</v>
      </c>
    </row>
    <row r="168" spans="1:7" x14ac:dyDescent="0.35">
      <c r="A168" s="1">
        <v>43100</v>
      </c>
      <c r="B168">
        <v>7.4272424213744272E-3</v>
      </c>
      <c r="C168">
        <v>2.9059930701238819</v>
      </c>
      <c r="D168">
        <v>0</v>
      </c>
      <c r="E168">
        <v>7.5086213210296057E-3</v>
      </c>
      <c r="F168">
        <v>2.566847359583539</v>
      </c>
      <c r="G168">
        <v>0</v>
      </c>
    </row>
    <row r="169" spans="1:7" x14ac:dyDescent="0.35">
      <c r="A169" s="1">
        <v>43131</v>
      </c>
      <c r="B169">
        <v>2.4958625234035092E-2</v>
      </c>
      <c r="C169">
        <v>2.9785226620938068</v>
      </c>
      <c r="D169">
        <v>0</v>
      </c>
      <c r="E169">
        <v>2.4958625234035092E-2</v>
      </c>
      <c r="F169">
        <v>2.6309123408643571</v>
      </c>
      <c r="G169">
        <v>0</v>
      </c>
    </row>
    <row r="170" spans="1:7" x14ac:dyDescent="0.35">
      <c r="A170" s="1">
        <v>43159</v>
      </c>
      <c r="B170">
        <v>-2.3538309782069021E-2</v>
      </c>
      <c r="C170">
        <v>2.9084132729805301</v>
      </c>
      <c r="D170">
        <v>-2.3538309782069059E-2</v>
      </c>
      <c r="E170">
        <v>-2.5933435775562671E-2</v>
      </c>
      <c r="F170">
        <v>2.5626837446414159</v>
      </c>
      <c r="G170">
        <v>-2.5933435775562511E-2</v>
      </c>
    </row>
    <row r="171" spans="1:7" x14ac:dyDescent="0.35">
      <c r="A171" s="1">
        <v>43190</v>
      </c>
      <c r="B171">
        <v>5.2708770790449479E-3</v>
      </c>
      <c r="C171">
        <v>2.9237431618374732</v>
      </c>
      <c r="D171">
        <v>-1.839150024053382E-2</v>
      </c>
      <c r="E171">
        <v>-1.0424045300293099E-2</v>
      </c>
      <c r="F171">
        <v>2.5359702131969488</v>
      </c>
      <c r="G171">
        <v>-3.6087149766538817E-2</v>
      </c>
    </row>
    <row r="172" spans="1:7" x14ac:dyDescent="0.35">
      <c r="A172" s="1">
        <v>43220</v>
      </c>
      <c r="B172">
        <v>-4.1832816960359672E-3</v>
      </c>
      <c r="C172">
        <v>2.9115123205846478</v>
      </c>
      <c r="D172">
        <v>-2.249784511025088E-2</v>
      </c>
      <c r="E172">
        <v>-2.6925341152642781E-3</v>
      </c>
      <c r="F172">
        <v>2.529142026882623</v>
      </c>
      <c r="G172">
        <v>-3.8682517999934052E-2</v>
      </c>
    </row>
    <row r="173" spans="1:7" x14ac:dyDescent="0.35">
      <c r="A173" s="1">
        <v>43251</v>
      </c>
      <c r="B173">
        <v>3.2605639503372877E-2</v>
      </c>
      <c r="C173">
        <v>3.0064440417192602</v>
      </c>
      <c r="D173">
        <v>0</v>
      </c>
      <c r="E173">
        <v>1.8799967868994238E-2</v>
      </c>
      <c r="F173">
        <v>2.5766898157241389</v>
      </c>
      <c r="G173">
        <v>-2.0609780226430341E-2</v>
      </c>
    </row>
    <row r="174" spans="1:7" x14ac:dyDescent="0.35">
      <c r="A174" s="1">
        <v>43281</v>
      </c>
      <c r="B174">
        <v>6.7297667679483506E-4</v>
      </c>
      <c r="C174">
        <v>3.008467308439426</v>
      </c>
      <c r="D174">
        <v>0</v>
      </c>
      <c r="E174">
        <v>3.9226769079498654E-3</v>
      </c>
      <c r="F174">
        <v>2.58679733736323</v>
      </c>
      <c r="G174">
        <v>-1.676794882745258E-2</v>
      </c>
    </row>
    <row r="175" spans="1:7" x14ac:dyDescent="0.35">
      <c r="A175" s="1">
        <v>43312</v>
      </c>
      <c r="B175">
        <v>1.3704943910884089E-2</v>
      </c>
      <c r="C175">
        <v>3.049698184159316</v>
      </c>
      <c r="D175">
        <v>0</v>
      </c>
      <c r="E175">
        <v>1.979213085716592E-2</v>
      </c>
      <c r="F175">
        <v>2.637995568765291</v>
      </c>
      <c r="G175">
        <v>0</v>
      </c>
    </row>
    <row r="176" spans="1:7" x14ac:dyDescent="0.35">
      <c r="A176" s="1">
        <v>43343</v>
      </c>
      <c r="B176">
        <v>3.2912735949046881E-2</v>
      </c>
      <c r="C176">
        <v>3.1500720952188401</v>
      </c>
      <c r="D176">
        <v>0</v>
      </c>
      <c r="E176">
        <v>2.3932924753033349E-2</v>
      </c>
      <c r="F176">
        <v>2.7011305182113858</v>
      </c>
      <c r="G176">
        <v>0</v>
      </c>
    </row>
    <row r="177" spans="1:7" x14ac:dyDescent="0.35">
      <c r="A177" s="1">
        <v>43373</v>
      </c>
      <c r="B177">
        <v>-3.6387755666186399E-3</v>
      </c>
      <c r="C177">
        <v>3.1386096898456701</v>
      </c>
      <c r="D177">
        <v>-3.6387755666186239E-3</v>
      </c>
      <c r="E177">
        <v>-1.864457304319182E-3</v>
      </c>
      <c r="F177">
        <v>2.696094375686787</v>
      </c>
      <c r="G177">
        <v>-1.864457304319278E-3</v>
      </c>
    </row>
    <row r="178" spans="1:7" x14ac:dyDescent="0.35">
      <c r="A178" s="1">
        <v>43404</v>
      </c>
      <c r="B178">
        <v>-4.7407145136057309E-2</v>
      </c>
      <c r="C178">
        <v>2.9898171647537208</v>
      </c>
      <c r="D178">
        <v>-5.087341674127166E-2</v>
      </c>
      <c r="E178">
        <v>-4.2988115726614443E-2</v>
      </c>
      <c r="F178">
        <v>2.580194358654889</v>
      </c>
      <c r="G178">
        <v>-4.4772423524568339E-2</v>
      </c>
    </row>
    <row r="179" spans="1:7" x14ac:dyDescent="0.35">
      <c r="A179" s="1">
        <v>43434</v>
      </c>
      <c r="B179">
        <v>4.2027408396122581E-3</v>
      </c>
      <c r="C179">
        <v>3.0023825914550049</v>
      </c>
      <c r="D179">
        <v>-4.6884483687848477E-2</v>
      </c>
      <c r="E179">
        <v>1.7665662166358141E-2</v>
      </c>
      <c r="F179">
        <v>2.6257752005184298</v>
      </c>
      <c r="G179">
        <v>-2.7897695866564098E-2</v>
      </c>
    </row>
    <row r="180" spans="1:7" x14ac:dyDescent="0.35">
      <c r="A180" s="1">
        <v>43465</v>
      </c>
      <c r="B180">
        <v>-4.3963477793686069E-2</v>
      </c>
      <c r="C180">
        <v>2.8703874110674241</v>
      </c>
      <c r="D180">
        <v>-8.8786756524055321E-2</v>
      </c>
      <c r="E180">
        <v>-4.4960350877378527E-2</v>
      </c>
      <c r="F180">
        <v>2.5077194261780029</v>
      </c>
      <c r="G180">
        <v>-7.1603756549111441E-2</v>
      </c>
    </row>
    <row r="181" spans="1:7" x14ac:dyDescent="0.35">
      <c r="A181" s="1">
        <v>43496</v>
      </c>
      <c r="B181">
        <v>4.6892508264205157E-2</v>
      </c>
      <c r="C181">
        <v>3.0049870764623732</v>
      </c>
      <c r="D181">
        <v>-4.6057681973906472E-2</v>
      </c>
      <c r="E181">
        <v>5.0448190150496952E-2</v>
      </c>
      <c r="F181">
        <v>2.6342293326339261</v>
      </c>
      <c r="G181">
        <v>-2.4767846324493911E-2</v>
      </c>
    </row>
    <row r="182" spans="1:7" x14ac:dyDescent="0.35">
      <c r="A182" s="1">
        <v>43524</v>
      </c>
      <c r="B182">
        <v>2.2750303578373571E-2</v>
      </c>
      <c r="C182">
        <v>3.073351444700982</v>
      </c>
      <c r="D182">
        <v>-2.4355204642555361E-2</v>
      </c>
      <c r="E182">
        <v>1.7543122436963571E-2</v>
      </c>
      <c r="F182">
        <v>2.6804419403433641</v>
      </c>
      <c r="G182">
        <v>-7.6592292481009183E-3</v>
      </c>
    </row>
    <row r="183" spans="1:7" x14ac:dyDescent="0.35">
      <c r="A183" s="1">
        <v>43555</v>
      </c>
      <c r="B183">
        <v>3.1398363680837697E-2</v>
      </c>
      <c r="C183">
        <v>3.1698496510807308</v>
      </c>
      <c r="D183">
        <v>0</v>
      </c>
      <c r="E183">
        <v>2.1692624757478431E-2</v>
      </c>
      <c r="F183">
        <v>2.7385877615394398</v>
      </c>
      <c r="G183">
        <v>0</v>
      </c>
    </row>
    <row r="184" spans="1:7" x14ac:dyDescent="0.35">
      <c r="A184" s="1">
        <v>43585</v>
      </c>
      <c r="B184">
        <v>3.0324198989638351E-2</v>
      </c>
      <c r="C184">
        <v>3.265972802667338</v>
      </c>
      <c r="D184">
        <v>0</v>
      </c>
      <c r="E184">
        <v>2.233420235729985E-2</v>
      </c>
      <c r="F184">
        <v>2.799751934778886</v>
      </c>
      <c r="G184">
        <v>0</v>
      </c>
    </row>
    <row r="185" spans="1:7" x14ac:dyDescent="0.35">
      <c r="A185" s="1">
        <v>43616</v>
      </c>
      <c r="B185">
        <v>-3.5882321428509771E-2</v>
      </c>
      <c r="C185">
        <v>3.1487821167852581</v>
      </c>
      <c r="D185">
        <v>-3.5882321428509778E-2</v>
      </c>
      <c r="E185">
        <v>-2.7243526191497721E-2</v>
      </c>
      <c r="F185">
        <v>2.7234768196140409</v>
      </c>
      <c r="G185">
        <v>-2.7243526191497721E-2</v>
      </c>
    </row>
    <row r="186" spans="1:7" x14ac:dyDescent="0.35">
      <c r="A186" s="1">
        <v>43646</v>
      </c>
      <c r="B186">
        <v>5.2177508384949993E-2</v>
      </c>
      <c r="C186">
        <v>3.3130777220862022</v>
      </c>
      <c r="D186">
        <v>0</v>
      </c>
      <c r="E186">
        <v>4.7408966141609173E-2</v>
      </c>
      <c r="F186">
        <v>2.8525940399425811</v>
      </c>
      <c r="G186">
        <v>0</v>
      </c>
    </row>
    <row r="187" spans="1:7" x14ac:dyDescent="0.35">
      <c r="A187" s="1">
        <v>43677</v>
      </c>
      <c r="B187">
        <v>1.611863127444756E-2</v>
      </c>
      <c r="C187">
        <v>3.3664800002720949</v>
      </c>
      <c r="D187">
        <v>0</v>
      </c>
      <c r="E187">
        <v>8.1874743452845043E-3</v>
      </c>
      <c r="F187">
        <v>2.8759495804621231</v>
      </c>
      <c r="G187">
        <v>0</v>
      </c>
    </row>
    <row r="188" spans="1:7" x14ac:dyDescent="0.35">
      <c r="A188" s="1">
        <v>43708</v>
      </c>
      <c r="B188">
        <v>6.1193589389423476E-3</v>
      </c>
      <c r="C188">
        <v>3.3870806997545309</v>
      </c>
      <c r="D188">
        <v>0</v>
      </c>
      <c r="E188">
        <v>6.0062227502534673E-3</v>
      </c>
      <c r="F188">
        <v>2.8932231742608758</v>
      </c>
      <c r="G188">
        <v>0</v>
      </c>
    </row>
    <row r="189" spans="1:7" x14ac:dyDescent="0.35">
      <c r="A189" s="1">
        <v>43738</v>
      </c>
      <c r="B189">
        <v>5.6476145545475594E-3</v>
      </c>
      <c r="C189">
        <v>3.4062096260118921</v>
      </c>
      <c r="D189">
        <v>0</v>
      </c>
      <c r="E189">
        <v>6.7357103549565613E-3</v>
      </c>
      <c r="F189">
        <v>2.9127110875549458</v>
      </c>
      <c r="G189">
        <v>0</v>
      </c>
    </row>
    <row r="190" spans="1:7" x14ac:dyDescent="0.35">
      <c r="A190" s="1">
        <v>43769</v>
      </c>
      <c r="B190">
        <v>1.7178779480206529E-2</v>
      </c>
      <c r="C190">
        <v>3.464724150040507</v>
      </c>
      <c r="D190">
        <v>0</v>
      </c>
      <c r="E190">
        <v>1.359132720748534E-2</v>
      </c>
      <c r="F190">
        <v>2.9522986970067748</v>
      </c>
      <c r="G190">
        <v>0</v>
      </c>
    </row>
    <row r="191" spans="1:7" x14ac:dyDescent="0.35">
      <c r="A191" s="1">
        <v>43799</v>
      </c>
      <c r="B191">
        <v>2.4402324509324919E-2</v>
      </c>
      <c r="C191">
        <v>3.5492714730850912</v>
      </c>
      <c r="D191">
        <v>0</v>
      </c>
      <c r="E191">
        <v>1.894404762539836E-2</v>
      </c>
      <c r="F191">
        <v>3.0082271841272732</v>
      </c>
      <c r="G191">
        <v>0</v>
      </c>
    </row>
    <row r="192" spans="1:7" x14ac:dyDescent="0.35">
      <c r="A192" s="1">
        <v>43830</v>
      </c>
      <c r="B192">
        <v>1.91822001685776E-2</v>
      </c>
      <c r="C192">
        <v>3.6173543089344311</v>
      </c>
      <c r="D192">
        <v>0</v>
      </c>
      <c r="E192">
        <v>1.498731564541431E-2</v>
      </c>
      <c r="F192">
        <v>3.053312434468904</v>
      </c>
      <c r="G192">
        <v>0</v>
      </c>
    </row>
    <row r="193" spans="1:7" x14ac:dyDescent="0.35">
      <c r="A193" s="1">
        <v>43861</v>
      </c>
      <c r="B193">
        <v>2.5205546685697151E-2</v>
      </c>
      <c r="C193">
        <v>3.7085317018469852</v>
      </c>
      <c r="D193">
        <v>0</v>
      </c>
      <c r="E193">
        <v>1.250371919972296E-2</v>
      </c>
      <c r="F193">
        <v>3.091490195778527</v>
      </c>
      <c r="G193">
        <v>0</v>
      </c>
    </row>
    <row r="194" spans="1:7" x14ac:dyDescent="0.35">
      <c r="A194" s="1">
        <v>43890</v>
      </c>
      <c r="B194">
        <v>-3.4905843862499487E-2</v>
      </c>
      <c r="C194">
        <v>3.5790822733031851</v>
      </c>
      <c r="D194">
        <v>-3.4905843862499508E-2</v>
      </c>
      <c r="E194">
        <v>-3.8370946605920928E-2</v>
      </c>
      <c r="F194">
        <v>2.9728667905435811</v>
      </c>
      <c r="G194">
        <v>-3.8370946605920997E-2</v>
      </c>
    </row>
    <row r="195" spans="1:7" x14ac:dyDescent="0.35">
      <c r="A195" s="1">
        <v>43921</v>
      </c>
      <c r="B195">
        <v>-5.249976288735813E-2</v>
      </c>
      <c r="C195">
        <v>3.3911813026004212</v>
      </c>
      <c r="D195">
        <v>-8.5573058223693321E-2</v>
      </c>
      <c r="E195">
        <v>-6.3420502297988707E-2</v>
      </c>
      <c r="F195">
        <v>2.7843260854222969</v>
      </c>
      <c r="G195">
        <v>-9.9357944196512782E-2</v>
      </c>
    </row>
    <row r="196" spans="1:7" x14ac:dyDescent="0.35">
      <c r="A196" s="1">
        <v>43951</v>
      </c>
      <c r="B196">
        <v>6.6458871643845202E-2</v>
      </c>
      <c r="C196">
        <v>3.6165553855109498</v>
      </c>
      <c r="D196">
        <v>-2.4801275472507881E-2</v>
      </c>
      <c r="E196">
        <v>7.7843918151100783E-2</v>
      </c>
      <c r="F196">
        <v>3.001068937321886</v>
      </c>
      <c r="G196">
        <v>-2.9248437721106971E-2</v>
      </c>
    </row>
    <row r="197" spans="1:7" x14ac:dyDescent="0.35">
      <c r="A197" s="1">
        <v>43982</v>
      </c>
      <c r="B197">
        <v>3.7906721075427703E-2</v>
      </c>
      <c r="C197">
        <v>3.753647141763349</v>
      </c>
      <c r="D197">
        <v>0</v>
      </c>
      <c r="E197">
        <v>2.9078316676126141E-2</v>
      </c>
      <c r="F197">
        <v>3.088334970248217</v>
      </c>
      <c r="G197">
        <v>-1.020616379317163E-3</v>
      </c>
    </row>
    <row r="198" spans="1:7" x14ac:dyDescent="0.35">
      <c r="A198" s="1">
        <v>44012</v>
      </c>
      <c r="B198">
        <v>2.7665488717042962E-2</v>
      </c>
      <c r="C198">
        <v>3.8574936244115641</v>
      </c>
      <c r="D198">
        <v>0</v>
      </c>
      <c r="E198">
        <v>1.2105727681422989E-2</v>
      </c>
      <c r="F198">
        <v>3.1257215123870572</v>
      </c>
      <c r="G198">
        <v>0</v>
      </c>
    </row>
    <row r="199" spans="1:7" x14ac:dyDescent="0.35">
      <c r="A199" s="1">
        <v>44043</v>
      </c>
      <c r="B199">
        <v>3.714606406328369E-2</v>
      </c>
      <c r="C199">
        <v>4.0007843297076642</v>
      </c>
      <c r="D199">
        <v>0</v>
      </c>
      <c r="E199">
        <v>3.7041125070333428E-2</v>
      </c>
      <c r="F199">
        <v>3.2415017538624178</v>
      </c>
      <c r="G199">
        <v>0</v>
      </c>
    </row>
    <row r="200" spans="1:7" x14ac:dyDescent="0.35">
      <c r="A200" s="1">
        <v>44074</v>
      </c>
      <c r="B200">
        <v>5.4973458094792843E-2</v>
      </c>
      <c r="C200">
        <v>4.2207212794031523</v>
      </c>
      <c r="D200">
        <v>0</v>
      </c>
      <c r="E200">
        <v>3.9039862176763668E-2</v>
      </c>
      <c r="F200">
        <v>3.3680495355789439</v>
      </c>
      <c r="G200">
        <v>0</v>
      </c>
    </row>
    <row r="201" spans="1:7" x14ac:dyDescent="0.35">
      <c r="A201" s="1">
        <v>44104</v>
      </c>
      <c r="B201">
        <v>-2.762146921098874E-2</v>
      </c>
      <c r="C201">
        <v>4.1041387565359528</v>
      </c>
      <c r="D201">
        <v>-2.7621469210988851E-2</v>
      </c>
      <c r="E201">
        <v>-2.1992561168520941E-2</v>
      </c>
      <c r="F201">
        <v>3.2939775001491149</v>
      </c>
      <c r="G201">
        <v>-2.1992561168521E-2</v>
      </c>
    </row>
    <row r="202" spans="1:7" x14ac:dyDescent="0.35">
      <c r="A202" s="1">
        <v>44135</v>
      </c>
      <c r="B202">
        <v>-3.0278487646823851E-2</v>
      </c>
      <c r="C202">
        <v>3.9798716418953282</v>
      </c>
      <c r="D202">
        <v>-5.7063620543520537E-2</v>
      </c>
      <c r="E202">
        <v>-2.1176040479734759E-2</v>
      </c>
      <c r="F202">
        <v>3.224224099266622</v>
      </c>
      <c r="G202">
        <v>-4.2702886282698138E-2</v>
      </c>
    </row>
    <row r="203" spans="1:7" x14ac:dyDescent="0.35">
      <c r="A203" s="1">
        <v>44165</v>
      </c>
      <c r="B203">
        <v>6.6963361636714333E-2</v>
      </c>
      <c r="C203">
        <v>4.2463772259192689</v>
      </c>
      <c r="D203">
        <v>0</v>
      </c>
      <c r="E203">
        <v>6.5452693333348286E-2</v>
      </c>
      <c r="F203">
        <v>3.435258250473912</v>
      </c>
      <c r="G203">
        <v>0</v>
      </c>
    </row>
    <row r="204" spans="1:7" x14ac:dyDescent="0.35">
      <c r="A204" s="1">
        <v>44196</v>
      </c>
      <c r="B204">
        <v>2.805035759157468E-2</v>
      </c>
      <c r="C204">
        <v>4.3654896255750231</v>
      </c>
      <c r="D204">
        <v>0</v>
      </c>
      <c r="E204">
        <v>2.174480034790616E-2</v>
      </c>
      <c r="F204">
        <v>3.5099572552739642</v>
      </c>
      <c r="G204">
        <v>0</v>
      </c>
    </row>
    <row r="205" spans="1:7" x14ac:dyDescent="0.35">
      <c r="A205" s="1">
        <v>44227</v>
      </c>
      <c r="B205">
        <v>-9.8012221685591511E-3</v>
      </c>
      <c r="C205">
        <v>4.3227024918802224</v>
      </c>
      <c r="D205">
        <v>-9.8012221685590539E-3</v>
      </c>
      <c r="E205">
        <v>-1.0388386025575361E-2</v>
      </c>
      <c r="F205">
        <v>3.47349446437291</v>
      </c>
      <c r="G205">
        <v>-1.0388386025575239E-2</v>
      </c>
    </row>
    <row r="206" spans="1:7" x14ac:dyDescent="0.35">
      <c r="A206" s="1">
        <v>44255</v>
      </c>
      <c r="B206">
        <v>1.647403134179791E-3</v>
      </c>
      <c r="C206">
        <v>4.3298237255134726</v>
      </c>
      <c r="D206">
        <v>-8.1699655984985853E-3</v>
      </c>
      <c r="E206">
        <v>6.8705648330044484E-3</v>
      </c>
      <c r="F206">
        <v>3.497359333287466</v>
      </c>
      <c r="G206">
        <v>-3.5891952722697522E-3</v>
      </c>
    </row>
    <row r="207" spans="1:7" x14ac:dyDescent="0.35">
      <c r="A207" s="1">
        <v>44286</v>
      </c>
      <c r="B207">
        <v>6.6071501608120781E-3</v>
      </c>
      <c r="C207">
        <v>4.3584315210377866</v>
      </c>
      <c r="D207">
        <v>-1.616795627204515E-3</v>
      </c>
      <c r="E207">
        <v>1.6025389058821539E-2</v>
      </c>
      <c r="F207">
        <v>3.5534058772818979</v>
      </c>
      <c r="G207">
        <v>0</v>
      </c>
    </row>
    <row r="208" spans="1:7" x14ac:dyDescent="0.35">
      <c r="A208" s="1">
        <v>44316</v>
      </c>
      <c r="B208">
        <v>3.5281004427607537E-2</v>
      </c>
      <c r="C208">
        <v>4.5122013628289448</v>
      </c>
      <c r="D208">
        <v>0</v>
      </c>
      <c r="E208">
        <v>3.5838763062829633E-2</v>
      </c>
      <c r="F208">
        <v>3.6807555485838712</v>
      </c>
      <c r="G208">
        <v>0</v>
      </c>
    </row>
    <row r="209" spans="1:7" x14ac:dyDescent="0.35">
      <c r="A209" s="1">
        <v>44347</v>
      </c>
      <c r="B209">
        <v>4.3174063220300789E-4</v>
      </c>
      <c r="C209">
        <v>4.5141494634979598</v>
      </c>
      <c r="D209">
        <v>0</v>
      </c>
      <c r="E209">
        <v>6.6489997634168463E-3</v>
      </c>
      <c r="F209">
        <v>3.7052288913556</v>
      </c>
      <c r="G209">
        <v>0</v>
      </c>
    </row>
    <row r="210" spans="1:7" x14ac:dyDescent="0.35">
      <c r="A210" s="1">
        <v>44377</v>
      </c>
      <c r="B210">
        <v>3.4370615007039099E-2</v>
      </c>
      <c r="C210">
        <v>4.6693035567920802</v>
      </c>
      <c r="D210">
        <v>0</v>
      </c>
      <c r="E210">
        <v>1.7417854573983111E-2</v>
      </c>
      <c r="F210">
        <v>3.7697660293485531</v>
      </c>
      <c r="G210">
        <v>0</v>
      </c>
    </row>
    <row r="211" spans="1:7" x14ac:dyDescent="0.35">
      <c r="A211" s="1">
        <v>44408</v>
      </c>
      <c r="B211">
        <v>2.797363427037099E-2</v>
      </c>
      <c r="C211">
        <v>4.7999209467871244</v>
      </c>
      <c r="D211">
        <v>0</v>
      </c>
      <c r="E211">
        <v>2.227643296026393E-2</v>
      </c>
      <c r="F211">
        <v>3.8537429695772158</v>
      </c>
      <c r="G211">
        <v>0</v>
      </c>
    </row>
    <row r="212" spans="1:7" x14ac:dyDescent="0.35">
      <c r="A212" s="1">
        <v>44439</v>
      </c>
      <c r="B212">
        <v>1.8446252171534481E-2</v>
      </c>
      <c r="C212">
        <v>4.8884614989749897</v>
      </c>
      <c r="D212">
        <v>0</v>
      </c>
      <c r="E212">
        <v>1.6507325303365759E-2</v>
      </c>
      <c r="F212">
        <v>3.917357958411587</v>
      </c>
      <c r="G212">
        <v>0</v>
      </c>
    </row>
    <row r="213" spans="1:7" x14ac:dyDescent="0.35">
      <c r="A213" s="1">
        <v>44469</v>
      </c>
      <c r="B213">
        <v>-3.8961398420390758E-2</v>
      </c>
      <c r="C213">
        <v>4.6980002028506851</v>
      </c>
      <c r="D213">
        <v>-3.8961398420390592E-2</v>
      </c>
      <c r="E213">
        <v>-3.4378174177141368E-2</v>
      </c>
      <c r="F213">
        <v>3.782686344203102</v>
      </c>
      <c r="G213">
        <v>-3.4378174177141403E-2</v>
      </c>
    </row>
    <row r="214" spans="1:7" x14ac:dyDescent="0.35">
      <c r="A214" s="1">
        <v>44500</v>
      </c>
      <c r="B214">
        <v>4.3926986999582453E-2</v>
      </c>
      <c r="C214">
        <v>4.9043691966853427</v>
      </c>
      <c r="D214">
        <v>0</v>
      </c>
      <c r="E214">
        <v>3.9618378025566142E-2</v>
      </c>
      <c r="F214">
        <v>3.9325502417398872</v>
      </c>
      <c r="G214">
        <v>0</v>
      </c>
    </row>
    <row r="215" spans="1:7" x14ac:dyDescent="0.35">
      <c r="A215" s="1">
        <v>44530</v>
      </c>
      <c r="B215">
        <v>1.958825384329423E-2</v>
      </c>
      <c r="C215">
        <v>5.0004372254512486</v>
      </c>
      <c r="D215">
        <v>0</v>
      </c>
      <c r="E215">
        <v>1.7048434935579539E-4</v>
      </c>
      <c r="F215">
        <v>3.9332206800091591</v>
      </c>
      <c r="G215">
        <v>0</v>
      </c>
    </row>
    <row r="216" spans="1:7" x14ac:dyDescent="0.35">
      <c r="A216" s="1">
        <v>44561</v>
      </c>
      <c r="B216">
        <v>2.0964067460048939E-2</v>
      </c>
      <c r="C216">
        <v>5.1052667287753479</v>
      </c>
      <c r="D216">
        <v>0</v>
      </c>
      <c r="E216">
        <v>2.5393496982212129E-2</v>
      </c>
      <c r="F216">
        <v>4.0330989074773456</v>
      </c>
      <c r="G216">
        <v>0</v>
      </c>
    </row>
    <row r="217" spans="1:7" x14ac:dyDescent="0.35">
      <c r="A217" s="1">
        <v>44592</v>
      </c>
      <c r="B217">
        <v>-4.6635181955587537E-2</v>
      </c>
      <c r="C217">
        <v>4.8671816859471022</v>
      </c>
      <c r="D217">
        <v>-4.6635181955587579E-2</v>
      </c>
      <c r="E217">
        <v>-4.0558455879020218E-2</v>
      </c>
      <c r="F217">
        <v>3.8695226433827008</v>
      </c>
      <c r="G217">
        <v>-4.0558455879020183E-2</v>
      </c>
    </row>
    <row r="218" spans="1:7" x14ac:dyDescent="0.35">
      <c r="A218" s="1">
        <v>44620</v>
      </c>
      <c r="B218">
        <v>-2.7057900895280089E-2</v>
      </c>
      <c r="C218">
        <v>4.7354859662494233</v>
      </c>
      <c r="D218">
        <v>-7.2431232719279981E-2</v>
      </c>
      <c r="E218">
        <v>-1.9358236867869309E-2</v>
      </c>
      <c r="F218">
        <v>3.7946155074865149</v>
      </c>
      <c r="G218">
        <v>-5.9131552550988342E-2</v>
      </c>
    </row>
    <row r="219" spans="1:7" x14ac:dyDescent="0.35">
      <c r="A219" s="1">
        <v>44651</v>
      </c>
      <c r="B219">
        <v>4.0231595536953284E-3</v>
      </c>
      <c r="C219">
        <v>4.7545375818559297</v>
      </c>
      <c r="D219">
        <v>-6.8699475571485258E-2</v>
      </c>
      <c r="E219">
        <v>5.3611362335884254E-3</v>
      </c>
      <c r="F219">
        <v>3.8149589581762382</v>
      </c>
      <c r="G219">
        <v>-5.4087428626329308E-2</v>
      </c>
    </row>
    <row r="220" spans="1:7" x14ac:dyDescent="0.35">
      <c r="A220" s="1">
        <v>44681</v>
      </c>
      <c r="B220">
        <v>-7.8108048980946324E-2</v>
      </c>
      <c r="C220">
        <v>4.3831699275305764</v>
      </c>
      <c r="D220">
        <v>-0.1414415425495287</v>
      </c>
      <c r="E220">
        <v>-6.9320869475586508E-2</v>
      </c>
      <c r="F220">
        <v>3.5505026861817841</v>
      </c>
      <c r="G220">
        <v>-0.1196589105218399</v>
      </c>
    </row>
    <row r="221" spans="1:7" x14ac:dyDescent="0.35">
      <c r="A221" s="1">
        <v>44712</v>
      </c>
      <c r="B221">
        <v>9.1418977647257096E-4</v>
      </c>
      <c r="C221">
        <v>4.3871769766668667</v>
      </c>
      <c r="D221">
        <v>-0.14065665718522349</v>
      </c>
      <c r="E221">
        <v>3.8636995251710182E-3</v>
      </c>
      <c r="F221">
        <v>3.5642207617245032</v>
      </c>
      <c r="G221">
        <v>-0.11625753707243459</v>
      </c>
    </row>
    <row r="222" spans="1:7" x14ac:dyDescent="0.35">
      <c r="A222" s="1">
        <v>44742</v>
      </c>
      <c r="B222">
        <v>-5.7803838874173993E-2</v>
      </c>
      <c r="C222">
        <v>4.1335813055951292</v>
      </c>
      <c r="D222">
        <v>-0.19033000131088279</v>
      </c>
      <c r="E222">
        <v>-5.4094536145842337E-2</v>
      </c>
      <c r="F222">
        <v>3.3714158928976352</v>
      </c>
      <c r="G222">
        <v>-0.16406317567688561</v>
      </c>
    </row>
    <row r="223" spans="1:7" x14ac:dyDescent="0.35">
      <c r="A223" s="1">
        <v>44773</v>
      </c>
      <c r="B223">
        <v>4.0753930299510688E-2</v>
      </c>
      <c r="C223">
        <v>4.3020409900107142</v>
      </c>
      <c r="D223">
        <v>-0.15733276661870149</v>
      </c>
      <c r="E223">
        <v>6.7150082093244537E-2</v>
      </c>
      <c r="F223">
        <v>3.5978067468761799</v>
      </c>
      <c r="G223">
        <v>-0.10792994929882239</v>
      </c>
    </row>
    <row r="224" spans="1:7" x14ac:dyDescent="0.35">
      <c r="A224" s="1">
        <v>44804</v>
      </c>
      <c r="B224">
        <v>-4.8451695078744618E-2</v>
      </c>
      <c r="C224">
        <v>4.0935998117464543</v>
      </c>
      <c r="D224">
        <v>-0.19816142246334159</v>
      </c>
      <c r="E224">
        <v>-3.9784446973570732E-2</v>
      </c>
      <c r="F224">
        <v>3.454669995133929</v>
      </c>
      <c r="G224">
        <v>-0.1434204629276539</v>
      </c>
    </row>
    <row r="225" spans="1:7" x14ac:dyDescent="0.35">
      <c r="A225" s="1">
        <v>44834</v>
      </c>
      <c r="B225">
        <v>-8.382758033707953E-2</v>
      </c>
      <c r="C225">
        <v>3.7504432446594249</v>
      </c>
      <c r="D225">
        <v>-0.2653776102391654</v>
      </c>
      <c r="E225">
        <v>-7.4280704279438531E-2</v>
      </c>
      <c r="F225">
        <v>3.1980546748423371</v>
      </c>
      <c r="G225">
        <v>-0.20704779421274319</v>
      </c>
    </row>
    <row r="226" spans="1:7" x14ac:dyDescent="0.35">
      <c r="A226" s="1">
        <v>44865</v>
      </c>
      <c r="B226">
        <v>5.5658518200822037E-2</v>
      </c>
      <c r="C226">
        <v>3.9591873582534509</v>
      </c>
      <c r="D226">
        <v>-0.22448961658793071</v>
      </c>
      <c r="E226">
        <v>4.183531216384203E-2</v>
      </c>
      <c r="F226">
        <v>3.3318462904813999</v>
      </c>
      <c r="G226">
        <v>-0.17387439115262629</v>
      </c>
    </row>
    <row r="227" spans="1:7" x14ac:dyDescent="0.35">
      <c r="A227" s="1">
        <v>44895</v>
      </c>
      <c r="B227">
        <v>4.3139123987621812E-2</v>
      </c>
      <c r="C227">
        <v>4.1299832325913712</v>
      </c>
      <c r="D227">
        <v>-0.1910347780042293</v>
      </c>
      <c r="E227">
        <v>4.7826934411357547E-2</v>
      </c>
      <c r="F227">
        <v>3.4911982844849789</v>
      </c>
      <c r="G227">
        <v>-0.1343633358427401</v>
      </c>
    </row>
    <row r="228" spans="1:7" x14ac:dyDescent="0.35">
      <c r="A228" s="1">
        <v>44926</v>
      </c>
      <c r="B228">
        <v>-4.4333288656835397E-2</v>
      </c>
      <c r="C228">
        <v>3.9468874937930081</v>
      </c>
      <c r="D228">
        <v>-0.22689886670430881</v>
      </c>
      <c r="E228">
        <v>-3.9299858573629491E-2</v>
      </c>
      <c r="F228">
        <v>3.3539946856522209</v>
      </c>
      <c r="G228">
        <v>-0.16838273432026879</v>
      </c>
    </row>
    <row r="229" spans="1:7" x14ac:dyDescent="0.35">
      <c r="A229" s="1">
        <v>44957</v>
      </c>
      <c r="B229">
        <v>4.9168594328315163E-2</v>
      </c>
      <c r="C229">
        <v>4.1409504038348164</v>
      </c>
      <c r="D229">
        <v>-0.18888657070653231</v>
      </c>
      <c r="E229">
        <v>5.0333247873064021E-2</v>
      </c>
      <c r="F229">
        <v>3.522812131530094</v>
      </c>
      <c r="G229">
        <v>-0.12652473635129111</v>
      </c>
    </row>
    <row r="230" spans="1:7" x14ac:dyDescent="0.35">
      <c r="A230" s="1">
        <v>44985</v>
      </c>
      <c r="B230">
        <v>-1.897152316196099E-2</v>
      </c>
      <c r="C230">
        <v>4.0623902673359318</v>
      </c>
      <c r="D230">
        <v>-0.2042746279173511</v>
      </c>
      <c r="E230">
        <v>-2.75468306430342E-2</v>
      </c>
      <c r="F230">
        <v>3.4257698223556079</v>
      </c>
      <c r="G230">
        <v>-0.1505862115099017</v>
      </c>
    </row>
    <row r="231" spans="1:7" x14ac:dyDescent="0.35">
      <c r="A231" s="1">
        <v>45016</v>
      </c>
      <c r="B231">
        <v>5.7620781207418308E-2</v>
      </c>
      <c r="C231">
        <v>4.2964683681092408</v>
      </c>
      <c r="D231">
        <v>-0.15842431035138529</v>
      </c>
      <c r="E231">
        <v>3.6734212499186958E-2</v>
      </c>
      <c r="F231">
        <v>3.551612778983321</v>
      </c>
      <c r="G231">
        <v>-0.11938366490376701</v>
      </c>
    </row>
    <row r="232" spans="1:7" x14ac:dyDescent="0.35">
      <c r="A232" s="1">
        <v>45046</v>
      </c>
      <c r="B232">
        <v>6.3929946843720564E-3</v>
      </c>
      <c r="C232">
        <v>4.3239356675481364</v>
      </c>
      <c r="D232">
        <v>-0.1530441214409648</v>
      </c>
      <c r="E232">
        <v>1.280277296639553E-2</v>
      </c>
      <c r="F232">
        <v>3.5970832710571941</v>
      </c>
      <c r="G232">
        <v>-0.10810933389503059</v>
      </c>
    </row>
    <row r="233" spans="1:7" x14ac:dyDescent="0.35">
      <c r="A233" s="1">
        <v>45077</v>
      </c>
      <c r="B233">
        <v>1.284084624506578E-2</v>
      </c>
      <c r="C233">
        <v>4.3794586606286776</v>
      </c>
      <c r="D233">
        <v>-0.14216849122803371</v>
      </c>
      <c r="E233">
        <v>-3.2263277449223488E-3</v>
      </c>
      <c r="F233">
        <v>3.5854779014989862</v>
      </c>
      <c r="G233">
        <v>-0.1109868654965224</v>
      </c>
    </row>
    <row r="234" spans="1:7" x14ac:dyDescent="0.35">
      <c r="A234" s="1">
        <v>45107</v>
      </c>
      <c r="B234">
        <v>3.1796897665809218E-2</v>
      </c>
      <c r="C234">
        <v>4.5187118594923286</v>
      </c>
      <c r="D234">
        <v>-0.11489211052910479</v>
      </c>
      <c r="E234">
        <v>3.3896826307710883E-2</v>
      </c>
      <c r="F234">
        <v>3.7070142231562331</v>
      </c>
      <c r="G234">
        <v>-8.0852141690984314E-2</v>
      </c>
    </row>
    <row r="235" spans="1:7" x14ac:dyDescent="0.35">
      <c r="A235" s="1">
        <v>45138</v>
      </c>
      <c r="B235">
        <v>1.41791069388763E-2</v>
      </c>
      <c r="C235">
        <v>4.5827831581740401</v>
      </c>
      <c r="D235">
        <v>-0.1023420711118538</v>
      </c>
      <c r="E235">
        <v>1.6640012031997421E-2</v>
      </c>
      <c r="F235">
        <v>3.768698984432338</v>
      </c>
      <c r="G235">
        <v>-6.55575102695376E-2</v>
      </c>
    </row>
    <row r="236" spans="1:7" x14ac:dyDescent="0.35">
      <c r="A236" s="1">
        <v>45169</v>
      </c>
      <c r="B236">
        <v>-1.221254481498025E-2</v>
      </c>
      <c r="C236">
        <v>4.5268157134775029</v>
      </c>
      <c r="D236">
        <v>-0.1133047587969226</v>
      </c>
      <c r="E236">
        <v>-1.252053990986244E-2</v>
      </c>
      <c r="F236">
        <v>3.7215128383894949</v>
      </c>
      <c r="G236">
        <v>-7.7257234755679138E-2</v>
      </c>
    </row>
    <row r="237" spans="1:7" x14ac:dyDescent="0.35">
      <c r="A237" s="1">
        <v>45199</v>
      </c>
      <c r="B237">
        <v>-3.9698942921833798E-2</v>
      </c>
      <c r="C237">
        <v>4.3471059148504994</v>
      </c>
      <c r="D237">
        <v>-0.14850562256650521</v>
      </c>
      <c r="E237">
        <v>-4.1078746876247067E-2</v>
      </c>
      <c r="F237">
        <v>3.5686377545045902</v>
      </c>
      <c r="G237">
        <v>-0.1151623512410388</v>
      </c>
    </row>
    <row r="238" spans="1:7" x14ac:dyDescent="0.35">
      <c r="A238" s="1">
        <v>45230</v>
      </c>
      <c r="B238">
        <v>-1.51798013649137E-2</v>
      </c>
      <c r="C238">
        <v>4.2811177105508271</v>
      </c>
      <c r="D238">
        <v>-0.16143113807928661</v>
      </c>
      <c r="E238">
        <v>-2.0294837107030249E-2</v>
      </c>
      <c r="F238">
        <v>3.4962128325829211</v>
      </c>
      <c r="G238">
        <v>-0.13311998718876961</v>
      </c>
    </row>
    <row r="239" spans="1:7" x14ac:dyDescent="0.35">
      <c r="A239" s="1">
        <v>45260</v>
      </c>
      <c r="B239">
        <v>6.6185116107369102E-2</v>
      </c>
      <c r="C239">
        <v>4.5644639832929466</v>
      </c>
      <c r="D239">
        <v>-0.1059303605890398</v>
      </c>
      <c r="E239">
        <v>7.2719356221865497E-2</v>
      </c>
      <c r="F239">
        <v>3.7504551789829761</v>
      </c>
      <c r="G239">
        <v>-7.00810307355344E-2</v>
      </c>
    </row>
    <row r="240" spans="1:7" x14ac:dyDescent="0.35">
      <c r="A240" s="1">
        <v>45291</v>
      </c>
      <c r="B240">
        <v>3.9411699525079377E-2</v>
      </c>
      <c r="C240">
        <v>4.7443572662955358</v>
      </c>
      <c r="D240">
        <v>-7.0693556606079011E-2</v>
      </c>
      <c r="E240">
        <v>4.3309674470393113E-2</v>
      </c>
      <c r="F240">
        <v>3.9128861719005279</v>
      </c>
      <c r="G240">
        <v>-2.9806542892846791E-2</v>
      </c>
    </row>
    <row r="241" spans="1:7" x14ac:dyDescent="0.35">
      <c r="A241" s="1">
        <v>45322</v>
      </c>
      <c r="B241">
        <v>6.874510196773001E-3</v>
      </c>
      <c r="C241">
        <v>4.7769723986998187</v>
      </c>
      <c r="D241">
        <v>-6.4305029985040618E-2</v>
      </c>
      <c r="E241">
        <v>9.4000138303027853E-3</v>
      </c>
      <c r="F241">
        <v>3.9496673560327942</v>
      </c>
      <c r="G241">
        <v>-2.0686710977970368E-2</v>
      </c>
    </row>
    <row r="242" spans="1:7" x14ac:dyDescent="0.35">
      <c r="A242" s="1">
        <v>45351</v>
      </c>
      <c r="B242">
        <v>1.72045088231929E-2</v>
      </c>
      <c r="C242">
        <v>4.8591578624813989</v>
      </c>
      <c r="D242">
        <v>-4.8206857617601018E-2</v>
      </c>
      <c r="E242">
        <v>2.3131292385747401E-2</v>
      </c>
      <c r="F242">
        <v>4.0410282664716304</v>
      </c>
      <c r="G242">
        <v>0</v>
      </c>
    </row>
    <row r="243" spans="1:7" x14ac:dyDescent="0.35">
      <c r="A243" s="1">
        <v>45382</v>
      </c>
      <c r="B243">
        <v>2.352194999306717E-2</v>
      </c>
      <c r="C243">
        <v>4.9734547307311061</v>
      </c>
      <c r="D243">
        <v>-2.5818826918737822E-2</v>
      </c>
      <c r="E243">
        <v>2.2476002800391619E-2</v>
      </c>
      <c r="F243">
        <v>4.1318544291053083</v>
      </c>
      <c r="G243">
        <v>0</v>
      </c>
    </row>
    <row r="244" spans="1:7" x14ac:dyDescent="0.35">
      <c r="A244" s="1">
        <v>45412</v>
      </c>
      <c r="B244">
        <v>-2.6019139364663008E-2</v>
      </c>
      <c r="C244">
        <v>4.8440497189683711</v>
      </c>
      <c r="D244">
        <v>-5.1166182627570111E-2</v>
      </c>
      <c r="E244">
        <v>-3.713693977428225E-2</v>
      </c>
      <c r="F244">
        <v>3.9784100000155229</v>
      </c>
      <c r="G244">
        <v>-3.7136939774282229E-2</v>
      </c>
    </row>
    <row r="245" spans="1:7" x14ac:dyDescent="0.35">
      <c r="A245" s="1">
        <v>45443</v>
      </c>
      <c r="B245">
        <v>2.9891519797239859E-2</v>
      </c>
      <c r="C245">
        <v>4.9888457270417277</v>
      </c>
      <c r="D245">
        <v>-2.2804097791291559E-2</v>
      </c>
      <c r="E245">
        <v>3.6872884554268612E-2</v>
      </c>
      <c r="F245">
        <v>4.1251054526556432</v>
      </c>
      <c r="G245">
        <v>-1.633401313009597E-3</v>
      </c>
    </row>
    <row r="246" spans="1:7" x14ac:dyDescent="0.35">
      <c r="A246" s="1">
        <v>45473</v>
      </c>
      <c r="B246">
        <v>3.2939412330035257E-2</v>
      </c>
      <c r="C246">
        <v>5.1531753734956904</v>
      </c>
      <c r="D246">
        <v>0</v>
      </c>
      <c r="E246">
        <v>2.6530699623491361E-2</v>
      </c>
      <c r="F246">
        <v>4.2345473863352758</v>
      </c>
      <c r="G246">
        <v>0</v>
      </c>
    </row>
    <row r="247" spans="1:7" x14ac:dyDescent="0.35">
      <c r="A247" s="1">
        <v>45504</v>
      </c>
      <c r="B247">
        <v>9.3524643991746391E-3</v>
      </c>
      <c r="C247">
        <v>5.2013702627190117</v>
      </c>
      <c r="D247">
        <v>0</v>
      </c>
      <c r="E247">
        <v>1.8847864733562869E-2</v>
      </c>
      <c r="F247">
        <v>4.3143595626807851</v>
      </c>
      <c r="G247">
        <v>0</v>
      </c>
    </row>
    <row r="248" spans="1:7" x14ac:dyDescent="0.35">
      <c r="A248" s="1">
        <v>45535</v>
      </c>
      <c r="B248">
        <v>9.6994050398684275E-3</v>
      </c>
      <c r="C248">
        <v>5.2518204596594504</v>
      </c>
      <c r="D248">
        <v>0</v>
      </c>
      <c r="E248">
        <v>2.012919617880337E-2</v>
      </c>
      <c r="F248">
        <v>4.4012041527038823</v>
      </c>
      <c r="G248">
        <v>0</v>
      </c>
    </row>
    <row r="249" spans="1:7" x14ac:dyDescent="0.35">
      <c r="A249" s="1">
        <v>45565</v>
      </c>
      <c r="B249">
        <v>2.0091369884152652E-2</v>
      </c>
      <c r="C249">
        <v>5.3573367270796286</v>
      </c>
      <c r="D249">
        <v>0</v>
      </c>
      <c r="E249">
        <v>1.8192683856472221E-2</v>
      </c>
      <c r="F249">
        <v>4.481273868441817</v>
      </c>
      <c r="G249">
        <v>0</v>
      </c>
    </row>
    <row r="250" spans="1:7" x14ac:dyDescent="0.35">
      <c r="A250" s="1">
        <v>45596</v>
      </c>
      <c r="B250">
        <v>-1.5671170745797509E-2</v>
      </c>
      <c r="C250">
        <v>5.2733809884868323</v>
      </c>
      <c r="D250">
        <v>-1.5671170745797599E-2</v>
      </c>
      <c r="E250">
        <v>-1.8856407221183039E-2</v>
      </c>
      <c r="F250">
        <v>4.396773143508832</v>
      </c>
      <c r="G250">
        <v>-1.885640722118298E-2</v>
      </c>
    </row>
    <row r="251" spans="1:7" x14ac:dyDescent="0.35">
      <c r="A251" s="1">
        <v>45626</v>
      </c>
      <c r="B251">
        <v>2.9672463496005559E-2</v>
      </c>
      <c r="C251">
        <v>5.4298551933682369</v>
      </c>
      <c r="D251">
        <v>0</v>
      </c>
      <c r="E251">
        <v>3.8821968232452653E-2</v>
      </c>
      <c r="F251">
        <v>4.5674645308114332</v>
      </c>
      <c r="G251">
        <v>0</v>
      </c>
    </row>
    <row r="252" spans="1:7" x14ac:dyDescent="0.35">
      <c r="A252" s="1">
        <v>45657</v>
      </c>
      <c r="B252">
        <v>-3.0645311142637102E-2</v>
      </c>
      <c r="C252">
        <v>5.263455591508003</v>
      </c>
      <c r="D252">
        <v>-3.0645311142637129E-2</v>
      </c>
      <c r="E252">
        <v>-2.32457702295422E-2</v>
      </c>
      <c r="F252">
        <v>4.4612902997966071</v>
      </c>
      <c r="G252">
        <v>-2.324577022954211E-2</v>
      </c>
    </row>
    <row r="253" spans="1:7" x14ac:dyDescent="0.35">
      <c r="A253" s="1">
        <v>45688</v>
      </c>
      <c r="B253">
        <v>9.4853413089862129E-3</v>
      </c>
      <c r="C253">
        <v>5.3133812642581484</v>
      </c>
      <c r="D253">
        <v>-2.145065106935895E-2</v>
      </c>
      <c r="E253">
        <v>1.932809265154457E-2</v>
      </c>
      <c r="F253">
        <v>4.5475185320565137</v>
      </c>
      <c r="G253">
        <v>-4.3669739787505213E-3</v>
      </c>
    </row>
    <row r="254" spans="1:7" x14ac:dyDescent="0.35">
      <c r="A254" s="1">
        <v>45716</v>
      </c>
      <c r="B254">
        <v>2.8144696243583359E-3</v>
      </c>
      <c r="C254">
        <v>5.3283356144290366</v>
      </c>
      <c r="D254">
        <v>-1.869655365085798E-2</v>
      </c>
      <c r="E254">
        <v>3.214469624358336E-3</v>
      </c>
      <c r="F254">
        <v>4.5621363922440157</v>
      </c>
      <c r="G254">
        <v>-1.1665418595973029E-3</v>
      </c>
    </row>
    <row r="255" spans="1:7" x14ac:dyDescent="0.35">
      <c r="A255" s="1">
        <v>45747</v>
      </c>
      <c r="B255">
        <v>-2.738232481151966E-2</v>
      </c>
      <c r="C255">
        <v>5.1824333979299544</v>
      </c>
      <c r="D255">
        <v>-4.5566923357453833E-2</v>
      </c>
      <c r="E255">
        <v>-3.2751424202262243E-2</v>
      </c>
      <c r="F255">
        <v>4.4127199279930531</v>
      </c>
      <c r="G255">
        <v>-3.3879760154566292E-2</v>
      </c>
    </row>
    <row r="256" spans="1:7" x14ac:dyDescent="0.35">
      <c r="A256" s="1">
        <v>45777</v>
      </c>
      <c r="B256">
        <v>1.310193664677845E-2</v>
      </c>
      <c r="C256">
        <v>5.2503333119857798</v>
      </c>
      <c r="D256">
        <v>-3.3062001653693551E-2</v>
      </c>
      <c r="E256">
        <v>-1.2232568145521851E-5</v>
      </c>
      <c r="F256">
        <v>4.4126659490958264</v>
      </c>
      <c r="G256">
        <v>-3.3891578286237123E-2</v>
      </c>
    </row>
    <row r="257" spans="1:7" x14ac:dyDescent="0.35">
      <c r="A257" s="1">
        <v>45808</v>
      </c>
      <c r="B257">
        <v>2.0254374298214368E-2</v>
      </c>
      <c r="C257">
        <v>5.3566755280771234</v>
      </c>
      <c r="D257">
        <v>-1.3477277512021209E-2</v>
      </c>
      <c r="E257">
        <v>3.2396582030867302E-2</v>
      </c>
      <c r="F257">
        <v>4.555621243490525</v>
      </c>
      <c r="G257">
        <v>-2.592967551475311E-3</v>
      </c>
    </row>
    <row r="258" spans="1:7" x14ac:dyDescent="0.35">
      <c r="A258" s="1">
        <v>45838</v>
      </c>
      <c r="B258">
        <v>3.612106553570113E-2</v>
      </c>
      <c r="C258">
        <v>5.550164355880284</v>
      </c>
      <c r="D258">
        <v>0</v>
      </c>
      <c r="E258">
        <v>3.6669261119660998E-2</v>
      </c>
      <c r="F258">
        <v>4.722672508430354</v>
      </c>
      <c r="G258">
        <v>0</v>
      </c>
    </row>
    <row r="259" spans="1:7" x14ac:dyDescent="0.35">
      <c r="A259" s="1">
        <v>45869</v>
      </c>
      <c r="B259">
        <v>7.9144525202923845E-3</v>
      </c>
      <c r="C259">
        <v>5.5940908681547166</v>
      </c>
      <c r="D259">
        <v>0</v>
      </c>
      <c r="E259">
        <v>1.1021347398565419E-2</v>
      </c>
      <c r="F259">
        <v>4.7747227227954196</v>
      </c>
      <c r="G259">
        <v>0</v>
      </c>
    </row>
    <row r="260" spans="1:7" x14ac:dyDescent="0.35">
      <c r="A260" s="1">
        <v>45900</v>
      </c>
      <c r="B260">
        <v>1.190972650634594E-2</v>
      </c>
      <c r="C260">
        <v>5.6607149604460876</v>
      </c>
      <c r="D260">
        <v>0</v>
      </c>
      <c r="E260">
        <v>1.8854328529442469E-2</v>
      </c>
      <c r="F260">
        <v>4.8647469136479984</v>
      </c>
      <c r="G260">
        <v>0</v>
      </c>
    </row>
    <row r="261" spans="1:7" x14ac:dyDescent="0.35">
      <c r="A261" s="1">
        <v>45930</v>
      </c>
      <c r="B261">
        <v>3.5153075921607511E-2</v>
      </c>
      <c r="C261">
        <v>5.8597065032212283</v>
      </c>
      <c r="D261">
        <v>0</v>
      </c>
      <c r="E261">
        <v>2.4492030864451581E-2</v>
      </c>
      <c r="F261">
        <v>4.9838944452048111</v>
      </c>
      <c r="G261">
        <v>0</v>
      </c>
    </row>
    <row r="262" spans="1:7" x14ac:dyDescent="0.35">
      <c r="A262" s="1">
        <v>45961</v>
      </c>
      <c r="B262">
        <v>1.4946562196546489E-2</v>
      </c>
      <c r="C262">
        <v>5.9472889709251326</v>
      </c>
      <c r="D262">
        <v>0</v>
      </c>
      <c r="E262">
        <v>1.676640198546164E-2</v>
      </c>
      <c r="F262">
        <v>5.0674564229262247</v>
      </c>
      <c r="G262">
        <v>0</v>
      </c>
    </row>
    <row r="263" spans="1:7" x14ac:dyDescent="0.35">
      <c r="A263" s="1">
        <v>45991</v>
      </c>
      <c r="B263">
        <v>6.9776851576982008E-3</v>
      </c>
      <c r="C263">
        <v>5.9887872809060987</v>
      </c>
      <c r="D263">
        <v>0</v>
      </c>
      <c r="E263">
        <v>5.5290896858391954E-3</v>
      </c>
      <c r="F263">
        <v>5.0954748439676649</v>
      </c>
      <c r="G263">
        <v>0</v>
      </c>
    </row>
    <row r="264" spans="1:7" x14ac:dyDescent="0.35">
      <c r="A264" s="1">
        <v>46022</v>
      </c>
      <c r="B264">
        <v>3.1839143424581659E-3</v>
      </c>
      <c r="C264">
        <v>6.0078550666237067</v>
      </c>
      <c r="D264">
        <v>0</v>
      </c>
      <c r="E264">
        <v>-1.962421390292934E-3</v>
      </c>
      <c r="F264">
        <v>5.0854753751401631</v>
      </c>
      <c r="G264">
        <v>-1.9624213902929011E-3</v>
      </c>
    </row>
    <row r="265" spans="1:7" x14ac:dyDescent="0.35">
      <c r="A265" s="1">
        <v>46053</v>
      </c>
      <c r="B265">
        <v>1.5778893345239461E-2</v>
      </c>
      <c r="C265">
        <v>6.102652370953618</v>
      </c>
      <c r="D265">
        <v>0</v>
      </c>
      <c r="E265">
        <v>7.0284777126710012E-3</v>
      </c>
      <c r="F265">
        <v>5.1212185254726732</v>
      </c>
      <c r="G265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65"/>
  <sheetViews>
    <sheetView workbookViewId="0"/>
  </sheetViews>
  <sheetFormatPr defaultRowHeight="14.5" x14ac:dyDescent="0.35"/>
  <sheetData>
    <row r="1" spans="1:13" x14ac:dyDescent="0.35">
      <c r="B1" t="s">
        <v>34</v>
      </c>
      <c r="C1" t="s">
        <v>1176</v>
      </c>
      <c r="D1" t="s">
        <v>46</v>
      </c>
      <c r="E1" t="s">
        <v>56</v>
      </c>
      <c r="F1" t="s">
        <v>59</v>
      </c>
      <c r="G1" t="s">
        <v>62</v>
      </c>
      <c r="H1" t="s">
        <v>65</v>
      </c>
      <c r="I1" t="s">
        <v>68</v>
      </c>
      <c r="J1" t="s">
        <v>71</v>
      </c>
      <c r="K1" t="s">
        <v>75</v>
      </c>
      <c r="L1" t="s">
        <v>78</v>
      </c>
      <c r="M1" t="s">
        <v>81</v>
      </c>
    </row>
    <row r="2" spans="1:13" x14ac:dyDescent="0.35">
      <c r="A2" s="1">
        <v>38046</v>
      </c>
      <c r="B2">
        <v>1.380250498855062E-2</v>
      </c>
      <c r="C2">
        <v>1.580800249221426E-2</v>
      </c>
      <c r="D2">
        <v>5.0822777376643653E-2</v>
      </c>
      <c r="E2">
        <v>5.1204200764524373E-2</v>
      </c>
      <c r="F2">
        <v>2.8170262598755439E-2</v>
      </c>
      <c r="G2">
        <v>-7.426172039803447E-3</v>
      </c>
      <c r="H2">
        <v>-2.5740754555634741E-2</v>
      </c>
      <c r="I2">
        <v>2.148549069765826E-2</v>
      </c>
      <c r="J2">
        <v>5.5371333309502717E-2</v>
      </c>
      <c r="K2">
        <v>1.872306671374524E-2</v>
      </c>
      <c r="L2">
        <v>1.059592108668639E-2</v>
      </c>
      <c r="M2">
        <v>-1.5777938128492149E-2</v>
      </c>
    </row>
    <row r="3" spans="1:13" x14ac:dyDescent="0.35">
      <c r="A3" s="1">
        <v>38077</v>
      </c>
      <c r="B3">
        <v>-1.520113168301762E-2</v>
      </c>
      <c r="C3">
        <v>1.318664757447063E-2</v>
      </c>
      <c r="D3">
        <v>-2.3328143626982541E-2</v>
      </c>
      <c r="E3">
        <v>-6.2706418173172906E-3</v>
      </c>
      <c r="F3">
        <v>-1.168142513637171E-2</v>
      </c>
      <c r="G3">
        <v>-1.2308035236713529E-2</v>
      </c>
      <c r="H3">
        <v>-2.691590727485282E-2</v>
      </c>
      <c r="I3">
        <v>-6.1903816383979127E-3</v>
      </c>
      <c r="J3">
        <v>-2.480930864390718E-3</v>
      </c>
      <c r="K3">
        <v>1.060492532913382E-2</v>
      </c>
      <c r="L3">
        <v>-4.2583681538931988E-2</v>
      </c>
      <c r="M3">
        <v>7.370219935386757E-2</v>
      </c>
    </row>
    <row r="4" spans="1:13" x14ac:dyDescent="0.35">
      <c r="A4" s="1">
        <v>38107</v>
      </c>
      <c r="B4">
        <v>-1.582358974285469E-2</v>
      </c>
      <c r="C4">
        <v>-4.4045101381771978E-2</v>
      </c>
      <c r="D4">
        <v>-4.7413338784399787E-2</v>
      </c>
      <c r="E4">
        <v>1.6898249757569591E-2</v>
      </c>
      <c r="F4">
        <v>-4.4513437195246031E-2</v>
      </c>
      <c r="G4">
        <v>-3.7911085455188948E-4</v>
      </c>
      <c r="H4">
        <v>-3.8943050994945549E-2</v>
      </c>
      <c r="I4">
        <v>-1.140313785722125E-2</v>
      </c>
      <c r="J4">
        <v>1.302647989961025E-2</v>
      </c>
      <c r="K4">
        <v>-4.3705232269516843E-2</v>
      </c>
      <c r="L4">
        <v>3.0599366256402138E-2</v>
      </c>
      <c r="M4">
        <v>-9.7716637311942911E-2</v>
      </c>
    </row>
    <row r="5" spans="1:13" x14ac:dyDescent="0.35">
      <c r="A5" s="1">
        <v>38138</v>
      </c>
      <c r="B5">
        <v>1.362780270419162E-2</v>
      </c>
      <c r="C5">
        <v>-6.1265640031713531E-3</v>
      </c>
      <c r="D5">
        <v>2.7702689677081341E-2</v>
      </c>
      <c r="E5">
        <v>-3.021504213807535E-3</v>
      </c>
      <c r="F5">
        <v>1.692559325753518E-2</v>
      </c>
      <c r="G5">
        <v>2.4323386321733139E-2</v>
      </c>
      <c r="H5">
        <v>3.8446777428650103E-2</v>
      </c>
      <c r="I5">
        <v>6.351166866034319E-3</v>
      </c>
      <c r="J5">
        <v>-5.6238236576606759E-3</v>
      </c>
      <c r="K5">
        <v>1.195664189767975E-2</v>
      </c>
      <c r="L5">
        <v>-3.246265920918034E-3</v>
      </c>
      <c r="M5">
        <v>2.2498712014230371E-2</v>
      </c>
    </row>
    <row r="6" spans="1:13" x14ac:dyDescent="0.35">
      <c r="A6" s="1">
        <v>38168</v>
      </c>
      <c r="B6">
        <v>1.92630554846378E-2</v>
      </c>
      <c r="C6">
        <v>6.1265640031713531E-3</v>
      </c>
      <c r="D6">
        <v>4.8957194040422092E-2</v>
      </c>
      <c r="E6">
        <v>6.049834537869625E-2</v>
      </c>
      <c r="F6">
        <v>4.4130973448250899E-3</v>
      </c>
      <c r="G6">
        <v>5.9895044846645977E-2</v>
      </c>
      <c r="H6">
        <v>2.692976439005923E-2</v>
      </c>
      <c r="I6">
        <v>2.5808777619289458E-3</v>
      </c>
      <c r="J6">
        <v>5.471203439467498E-3</v>
      </c>
      <c r="K6">
        <v>1.7169825043297671E-2</v>
      </c>
      <c r="L6">
        <v>-3.7414127912533961E-3</v>
      </c>
      <c r="M6">
        <v>-3.2919756242577591E-3</v>
      </c>
    </row>
    <row r="7" spans="1:13" x14ac:dyDescent="0.35">
      <c r="A7" s="1">
        <v>38199</v>
      </c>
      <c r="B7">
        <v>-3.3660617164498419E-2</v>
      </c>
      <c r="C7">
        <v>1.309833971558572E-2</v>
      </c>
      <c r="D7">
        <v>-2.3041847035502269E-2</v>
      </c>
      <c r="E7">
        <v>3.0347819455853301E-2</v>
      </c>
      <c r="F7">
        <v>-2.157462521226039E-2</v>
      </c>
      <c r="G7">
        <v>-2.8310651077603222E-2</v>
      </c>
      <c r="H7">
        <v>-6.2800922812101589E-2</v>
      </c>
      <c r="I7">
        <v>-3.8676817665556307E-2</v>
      </c>
      <c r="J7">
        <v>-5.0632455767116717E-2</v>
      </c>
      <c r="K7">
        <v>1.5037762074107791E-2</v>
      </c>
      <c r="L7">
        <v>-5.5158470313354968E-2</v>
      </c>
      <c r="M7">
        <v>-8.1497967955268535E-3</v>
      </c>
    </row>
    <row r="8" spans="1:13" x14ac:dyDescent="0.35">
      <c r="A8" s="1">
        <v>38230</v>
      </c>
      <c r="B8">
        <v>4.0392090539107528E-3</v>
      </c>
      <c r="C8">
        <v>2.7231537104454692E-2</v>
      </c>
      <c r="D8">
        <v>1.6673421011893289E-2</v>
      </c>
      <c r="E8">
        <v>-1.5528327263872649E-2</v>
      </c>
      <c r="F8">
        <v>3.2016310056595547E-2</v>
      </c>
      <c r="G8">
        <v>7.1749341903748487E-4</v>
      </c>
      <c r="H8">
        <v>-4.5246929169523442E-2</v>
      </c>
      <c r="I8">
        <v>-1.9735649086269902E-3</v>
      </c>
      <c r="J8">
        <v>1.761171502256564E-2</v>
      </c>
      <c r="K8">
        <v>3.9826172723619553E-2</v>
      </c>
      <c r="L8">
        <v>1.6121082849112511E-2</v>
      </c>
      <c r="M8">
        <v>4.6955810051418467E-2</v>
      </c>
    </row>
    <row r="9" spans="1:13" x14ac:dyDescent="0.35">
      <c r="A9" s="1">
        <v>38260</v>
      </c>
      <c r="B9">
        <v>1.077114792218037E-2</v>
      </c>
      <c r="C9">
        <v>3.473347595302378E-3</v>
      </c>
      <c r="D9">
        <v>3.9402852649155218E-2</v>
      </c>
      <c r="E9">
        <v>9.3153055280371433E-2</v>
      </c>
      <c r="F9">
        <v>-9.2459734315268882E-3</v>
      </c>
      <c r="G9">
        <v>2.1269837686453741E-2</v>
      </c>
      <c r="H9">
        <v>2.8648289009291391E-2</v>
      </c>
      <c r="I9">
        <v>2.8428675543605841E-2</v>
      </c>
      <c r="J9">
        <v>-2.669083067601408E-2</v>
      </c>
      <c r="K9">
        <v>6.3277072089999997E-3</v>
      </c>
      <c r="L9">
        <v>-1.7639943513421571E-2</v>
      </c>
      <c r="M9">
        <v>2.0288100767894331E-2</v>
      </c>
    </row>
    <row r="10" spans="1:13" x14ac:dyDescent="0.35">
      <c r="A10" s="1">
        <v>38291</v>
      </c>
      <c r="B10">
        <v>1.5162373833232049E-2</v>
      </c>
      <c r="C10">
        <v>9.7894462831087381E-3</v>
      </c>
      <c r="D10">
        <v>-9.4823515333830599E-3</v>
      </c>
      <c r="E10">
        <v>5.994018986481997E-3</v>
      </c>
      <c r="F10">
        <v>5.2566123942838772E-3</v>
      </c>
      <c r="G10">
        <v>1.016643238956938E-2</v>
      </c>
      <c r="H10">
        <v>4.2995664030315073E-2</v>
      </c>
      <c r="I10">
        <v>3.9590405970367122E-2</v>
      </c>
      <c r="J10">
        <v>6.4423991595394803E-3</v>
      </c>
      <c r="K10">
        <v>4.7554157431937139E-2</v>
      </c>
      <c r="L10">
        <v>-2.2480847965615339E-2</v>
      </c>
      <c r="M10">
        <v>2.4328077477957951E-2</v>
      </c>
    </row>
    <row r="11" spans="1:13" x14ac:dyDescent="0.35">
      <c r="A11" s="1">
        <v>38321</v>
      </c>
      <c r="B11">
        <v>3.9665515472063539E-2</v>
      </c>
      <c r="C11">
        <v>-1.9146476578292489E-2</v>
      </c>
      <c r="D11">
        <v>7.8208376855564588E-2</v>
      </c>
      <c r="E11">
        <v>6.5267561601088708E-2</v>
      </c>
      <c r="F11">
        <v>3.0633911824681889E-2</v>
      </c>
      <c r="G11">
        <v>6.0891603198156119E-2</v>
      </c>
      <c r="H11">
        <v>4.9839422948084522E-2</v>
      </c>
      <c r="I11">
        <v>4.1044117250556227E-2</v>
      </c>
      <c r="J11">
        <v>2.446879509016275E-2</v>
      </c>
      <c r="K11">
        <v>4.357391517042708E-2</v>
      </c>
      <c r="L11">
        <v>1.9349460073556649E-2</v>
      </c>
      <c r="M11">
        <v>5.0949051266825578E-2</v>
      </c>
    </row>
    <row r="12" spans="1:13" x14ac:dyDescent="0.35">
      <c r="A12" s="1">
        <v>38352</v>
      </c>
      <c r="B12">
        <v>3.3461935614983673E-2</v>
      </c>
      <c r="C12">
        <v>1.2778176293655189E-2</v>
      </c>
      <c r="D12">
        <v>1.3283493094577549E-2</v>
      </c>
      <c r="E12">
        <v>-2.8612595590479462E-2</v>
      </c>
      <c r="F12">
        <v>4.0512600104960939E-2</v>
      </c>
      <c r="G12">
        <v>2.4526791608758369E-2</v>
      </c>
      <c r="H12">
        <v>2.582882414248688E-2</v>
      </c>
      <c r="I12">
        <v>4.565618083444356E-2</v>
      </c>
      <c r="J12">
        <v>3.6708917227634252E-2</v>
      </c>
      <c r="K12">
        <v>2.4331150970973599E-2</v>
      </c>
      <c r="L12">
        <v>5.3677645977435073E-2</v>
      </c>
      <c r="M12">
        <v>-2.8110688386352219E-2</v>
      </c>
    </row>
    <row r="13" spans="1:13" x14ac:dyDescent="0.35">
      <c r="A13" s="1">
        <v>38383</v>
      </c>
      <c r="B13">
        <v>-2.4680383927408119E-2</v>
      </c>
      <c r="C13">
        <v>7.0866911201301619E-3</v>
      </c>
      <c r="D13">
        <v>-3.1087085561460451E-2</v>
      </c>
      <c r="E13">
        <v>3.3304811784943933E-2</v>
      </c>
      <c r="F13">
        <v>-2.1854984105352141E-2</v>
      </c>
      <c r="G13">
        <v>-2.840040083662787E-2</v>
      </c>
      <c r="H13">
        <v>-5.8022151788704512E-2</v>
      </c>
      <c r="I13">
        <v>-4.3730436647697601E-2</v>
      </c>
      <c r="J13">
        <v>1.1630571427911461E-2</v>
      </c>
      <c r="K13">
        <v>2.0963927070139391E-2</v>
      </c>
      <c r="L13">
        <v>-3.1631115631435502E-2</v>
      </c>
      <c r="M13">
        <v>-3.6819675043408218E-2</v>
      </c>
    </row>
    <row r="14" spans="1:13" x14ac:dyDescent="0.35">
      <c r="A14" s="1">
        <v>38411</v>
      </c>
      <c r="B14">
        <v>2.0827541139929021E-2</v>
      </c>
      <c r="C14">
        <v>-1.264696170076718E-2</v>
      </c>
      <c r="D14">
        <v>7.5816698943917515E-2</v>
      </c>
      <c r="E14">
        <v>0.1551014215550359</v>
      </c>
      <c r="F14">
        <v>-6.7181844399644142E-3</v>
      </c>
      <c r="G14">
        <v>1.15225187779191E-2</v>
      </c>
      <c r="H14">
        <v>1.504925093817278E-3</v>
      </c>
      <c r="I14">
        <v>-5.3432299070963474E-3</v>
      </c>
      <c r="J14">
        <v>-1.285791550715842E-3</v>
      </c>
      <c r="K14">
        <v>2.122176090658168E-2</v>
      </c>
      <c r="L14">
        <v>2.964178439513487E-2</v>
      </c>
      <c r="M14">
        <v>3.041306349533901E-2</v>
      </c>
    </row>
    <row r="15" spans="1:13" x14ac:dyDescent="0.35">
      <c r="A15" s="1">
        <v>38442</v>
      </c>
      <c r="B15">
        <v>-1.786444661990139E-2</v>
      </c>
      <c r="C15">
        <v>-5.4694758045350511E-3</v>
      </c>
      <c r="D15">
        <v>-2.6937493884772849E-2</v>
      </c>
      <c r="E15">
        <v>-1.9277878116143569E-2</v>
      </c>
      <c r="F15">
        <v>-3.8789993050042597E-2</v>
      </c>
      <c r="G15">
        <v>-4.3868359335652579E-4</v>
      </c>
      <c r="H15">
        <v>-1.974216424632225E-2</v>
      </c>
      <c r="I15">
        <v>-1.1754516714663319E-2</v>
      </c>
      <c r="J15">
        <v>-8.8010320189106928E-3</v>
      </c>
      <c r="K15">
        <v>1.099806771836853E-2</v>
      </c>
      <c r="L15">
        <v>-5.5964364987755033E-3</v>
      </c>
      <c r="M15">
        <v>-1.689855026724274E-2</v>
      </c>
    </row>
    <row r="16" spans="1:13" x14ac:dyDescent="0.35">
      <c r="A16" s="1">
        <v>38472</v>
      </c>
      <c r="B16">
        <v>-1.9149889095197992E-2</v>
      </c>
      <c r="C16">
        <v>2.432096761110536E-2</v>
      </c>
      <c r="D16">
        <v>-7.3955173956057774E-2</v>
      </c>
      <c r="E16">
        <v>-5.5636737537770209E-2</v>
      </c>
      <c r="F16">
        <v>1.7588540560908861E-3</v>
      </c>
      <c r="G16">
        <v>-3.7158932037257841E-2</v>
      </c>
      <c r="H16">
        <v>-3.5913655510616982E-2</v>
      </c>
      <c r="I16">
        <v>-6.5745488172438193E-2</v>
      </c>
      <c r="J16">
        <v>-1.048080311860256E-2</v>
      </c>
      <c r="K16">
        <v>3.040755491248226E-2</v>
      </c>
      <c r="L16">
        <v>3.4236657177996399E-2</v>
      </c>
      <c r="M16">
        <v>1.4025150209672431E-2</v>
      </c>
    </row>
    <row r="17" spans="1:13" x14ac:dyDescent="0.35">
      <c r="A17" s="1">
        <v>38503</v>
      </c>
      <c r="B17">
        <v>3.1324928469029352E-2</v>
      </c>
      <c r="C17">
        <v>1.5852431485587459E-2</v>
      </c>
      <c r="D17">
        <v>-6.4473798058903853E-3</v>
      </c>
      <c r="E17">
        <v>2.748507822409918E-2</v>
      </c>
      <c r="F17">
        <v>2.9108156804894311E-2</v>
      </c>
      <c r="G17">
        <v>3.122616677014145E-2</v>
      </c>
      <c r="H17">
        <v>6.7118989119518302E-2</v>
      </c>
      <c r="I17">
        <v>5.9999303268876591E-2</v>
      </c>
      <c r="J17">
        <v>2.2999956991673901E-2</v>
      </c>
      <c r="K17">
        <v>-6.654256020439675E-4</v>
      </c>
      <c r="L17">
        <v>1.2542588439671491E-2</v>
      </c>
      <c r="M17">
        <v>-4.0280206077780711E-2</v>
      </c>
    </row>
    <row r="18" spans="1:13" x14ac:dyDescent="0.35">
      <c r="A18" s="1">
        <v>38533</v>
      </c>
      <c r="B18">
        <v>1.4183967571650411E-3</v>
      </c>
      <c r="C18">
        <v>5.9144141277611686E-3</v>
      </c>
      <c r="D18">
        <v>-2.0220032985591722E-2</v>
      </c>
      <c r="E18">
        <v>6.7465100810378154E-2</v>
      </c>
      <c r="F18">
        <v>1.238802903266123E-2</v>
      </c>
      <c r="G18">
        <v>-2.6694578766261131E-2</v>
      </c>
      <c r="H18">
        <v>-1.2968094456396351E-2</v>
      </c>
      <c r="I18">
        <v>-4.3199280550418884E-3</v>
      </c>
      <c r="J18">
        <v>-1.950986718211967E-2</v>
      </c>
      <c r="K18">
        <v>5.7829710328166202E-2</v>
      </c>
      <c r="L18">
        <v>-5.3017726477424532E-3</v>
      </c>
      <c r="M18">
        <v>4.2809233750612741E-2</v>
      </c>
    </row>
    <row r="19" spans="1:13" x14ac:dyDescent="0.35">
      <c r="A19" s="1">
        <v>38564</v>
      </c>
      <c r="B19">
        <v>3.6513095424473903E-2</v>
      </c>
      <c r="C19">
        <v>-1.9311593310717971E-2</v>
      </c>
      <c r="D19">
        <v>5.3795841729725957E-2</v>
      </c>
      <c r="E19">
        <v>6.8468083775703015E-2</v>
      </c>
      <c r="F19">
        <v>1.548839084960729E-2</v>
      </c>
      <c r="G19">
        <v>3.7412423750916801E-2</v>
      </c>
      <c r="H19">
        <v>5.5176139188545907E-2</v>
      </c>
      <c r="I19">
        <v>5.5190220178322758E-2</v>
      </c>
      <c r="J19">
        <v>3.1584467774476988E-2</v>
      </c>
      <c r="K19">
        <v>2.2246934403252091E-2</v>
      </c>
      <c r="L19">
        <v>2.230788801728556E-2</v>
      </c>
      <c r="M19">
        <v>-1.3174812084147719E-2</v>
      </c>
    </row>
    <row r="20" spans="1:13" x14ac:dyDescent="0.35">
      <c r="A20" s="1">
        <v>38595</v>
      </c>
      <c r="B20">
        <v>-9.1648509746731222E-3</v>
      </c>
      <c r="C20">
        <v>1.962191138923686E-2</v>
      </c>
      <c r="D20">
        <v>-4.2802332209152638E-2</v>
      </c>
      <c r="E20">
        <v>6.190848929874404E-2</v>
      </c>
      <c r="F20">
        <v>-1.6506997690825639E-2</v>
      </c>
      <c r="G20">
        <v>-2.3889613460684082E-2</v>
      </c>
      <c r="H20">
        <v>-9.5468099433402287E-3</v>
      </c>
      <c r="I20">
        <v>-3.3463685088483963E-2</v>
      </c>
      <c r="J20">
        <v>-1.761613455284472E-2</v>
      </c>
      <c r="K20">
        <v>6.4868021762123362E-3</v>
      </c>
      <c r="L20">
        <v>-3.472626524618327E-3</v>
      </c>
      <c r="M20">
        <v>1.248571133332277E-2</v>
      </c>
    </row>
    <row r="21" spans="1:13" x14ac:dyDescent="0.35">
      <c r="A21" s="1">
        <v>38625</v>
      </c>
      <c r="B21">
        <v>8.0623356148432634E-3</v>
      </c>
      <c r="C21">
        <v>-1.744889933327531E-2</v>
      </c>
      <c r="D21">
        <v>7.6687387696847686E-3</v>
      </c>
      <c r="E21">
        <v>6.0966539457420137E-2</v>
      </c>
      <c r="F21">
        <v>8.5219955808479853E-3</v>
      </c>
      <c r="G21">
        <v>1.6617894650750031E-2</v>
      </c>
      <c r="H21">
        <v>2.3953052546512592E-3</v>
      </c>
      <c r="I21">
        <v>-2.8832317028084201E-2</v>
      </c>
      <c r="J21">
        <v>1.4046219949749529E-2</v>
      </c>
      <c r="K21">
        <v>4.1412797373969301E-2</v>
      </c>
      <c r="L21">
        <v>-5.5566924797547657E-3</v>
      </c>
      <c r="M21">
        <v>7.5436527258639252E-2</v>
      </c>
    </row>
    <row r="22" spans="1:13" x14ac:dyDescent="0.35">
      <c r="A22" s="1">
        <v>38656</v>
      </c>
      <c r="B22">
        <v>-1.681140212378196E-2</v>
      </c>
      <c r="C22">
        <v>-1.18706358476679E-2</v>
      </c>
      <c r="D22">
        <v>2.1792860891198811E-3</v>
      </c>
      <c r="E22">
        <v>-9.4713963485123731E-2</v>
      </c>
      <c r="F22">
        <v>3.0032439030321711E-2</v>
      </c>
      <c r="G22">
        <v>-1.4359342384017371E-2</v>
      </c>
      <c r="H22">
        <v>-2.3233785781195501E-2</v>
      </c>
      <c r="I22">
        <v>-2.0523316942548941E-2</v>
      </c>
      <c r="J22">
        <v>-4.7368860545584654E-3</v>
      </c>
      <c r="K22">
        <v>-6.6126959988524803E-2</v>
      </c>
      <c r="L22">
        <v>-3.110114717428392E-2</v>
      </c>
      <c r="M22">
        <v>-8.7962985176037733E-3</v>
      </c>
    </row>
    <row r="23" spans="1:13" x14ac:dyDescent="0.35">
      <c r="A23" s="1">
        <v>38686</v>
      </c>
      <c r="B23">
        <v>3.7124669134865229E-2</v>
      </c>
      <c r="C23">
        <v>5.8139698654198213E-3</v>
      </c>
      <c r="D23">
        <v>7.37712681461411E-2</v>
      </c>
      <c r="E23">
        <v>1.48423684805592E-2</v>
      </c>
      <c r="F23">
        <v>4.6564985169545547E-2</v>
      </c>
      <c r="G23">
        <v>5.6559698424632383E-2</v>
      </c>
      <c r="H23">
        <v>6.1257946409824182E-2</v>
      </c>
      <c r="I23">
        <v>3.912372440481704E-2</v>
      </c>
      <c r="J23">
        <v>9.0232531478422473E-3</v>
      </c>
      <c r="K23">
        <v>-1.5911817742328971E-3</v>
      </c>
      <c r="L23">
        <v>1.2101845450193769E-2</v>
      </c>
      <c r="M23">
        <v>5.8225508400550303E-2</v>
      </c>
    </row>
    <row r="24" spans="1:13" x14ac:dyDescent="0.35">
      <c r="A24" s="1">
        <v>38717</v>
      </c>
      <c r="B24">
        <v>3.4960194172395381E-4</v>
      </c>
      <c r="C24">
        <v>1.2116098254433719E-2</v>
      </c>
      <c r="D24">
        <v>2.8209272131017649E-2</v>
      </c>
      <c r="E24">
        <v>1.7835759291408682E-2</v>
      </c>
      <c r="F24">
        <v>2.0332765623276569E-4</v>
      </c>
      <c r="G24">
        <v>4.7188541597567024E-3</v>
      </c>
      <c r="H24">
        <v>-3.1195977426487609E-2</v>
      </c>
      <c r="I24">
        <v>-8.5952282597085983E-3</v>
      </c>
      <c r="J24">
        <v>1.1678956988934171E-3</v>
      </c>
      <c r="K24">
        <v>8.5554048961640206E-3</v>
      </c>
      <c r="L24">
        <v>3.4015410544304459E-2</v>
      </c>
      <c r="M24">
        <v>4.7371441825110772E-2</v>
      </c>
    </row>
    <row r="25" spans="1:13" x14ac:dyDescent="0.35">
      <c r="A25" s="1">
        <v>38748</v>
      </c>
      <c r="B25">
        <v>2.6134164299326908E-2</v>
      </c>
      <c r="C25">
        <v>-5.7437507921749287E-3</v>
      </c>
      <c r="D25">
        <v>4.7090419902503733E-2</v>
      </c>
      <c r="E25">
        <v>0.1363599823104629</v>
      </c>
      <c r="F25">
        <v>8.8018993731138195E-3</v>
      </c>
      <c r="G25">
        <v>2.8603176875838798E-3</v>
      </c>
      <c r="H25">
        <v>3.2943943255875567E-2</v>
      </c>
      <c r="I25">
        <v>1.7608200504215521E-2</v>
      </c>
      <c r="J25">
        <v>1.7159908603119329E-3</v>
      </c>
      <c r="K25">
        <v>2.3922896154904279E-2</v>
      </c>
      <c r="L25">
        <v>1.28426458840738E-2</v>
      </c>
      <c r="M25">
        <v>9.5661797248172142E-2</v>
      </c>
    </row>
    <row r="26" spans="1:13" x14ac:dyDescent="0.35">
      <c r="A26" s="1">
        <v>38776</v>
      </c>
      <c r="B26">
        <v>2.7105015676998079E-3</v>
      </c>
      <c r="C26">
        <v>-7.8939063145533339E-4</v>
      </c>
      <c r="D26">
        <v>-2.165706136831513E-2</v>
      </c>
      <c r="E26">
        <v>-9.6802961806723875E-2</v>
      </c>
      <c r="F26">
        <v>2.106022878587455E-2</v>
      </c>
      <c r="G26">
        <v>3.0626857788146111E-2</v>
      </c>
      <c r="H26">
        <v>2.3126715467785002E-3</v>
      </c>
      <c r="I26">
        <v>7.1965816806840444E-3</v>
      </c>
      <c r="J26">
        <v>8.5360608971458696E-3</v>
      </c>
      <c r="K26">
        <v>1.297947538974409E-2</v>
      </c>
      <c r="L26">
        <v>1.1449835712474149E-2</v>
      </c>
      <c r="M26">
        <v>-1.3003854347556579E-2</v>
      </c>
    </row>
    <row r="27" spans="1:13" x14ac:dyDescent="0.35">
      <c r="A27" s="1">
        <v>38807</v>
      </c>
      <c r="B27">
        <v>1.237178843728781E-2</v>
      </c>
      <c r="C27">
        <v>-1.403629478046042E-2</v>
      </c>
      <c r="D27">
        <v>4.5582907098927983E-2</v>
      </c>
      <c r="E27">
        <v>4.1562031878287893E-2</v>
      </c>
      <c r="F27">
        <v>2.8942554087585388E-3</v>
      </c>
      <c r="G27">
        <v>4.3279078878076138E-2</v>
      </c>
      <c r="H27">
        <v>2.2380108524865161E-2</v>
      </c>
      <c r="I27">
        <v>5.8667862135304283E-3</v>
      </c>
      <c r="J27">
        <v>8.2122841790641665E-3</v>
      </c>
      <c r="K27">
        <v>-4.7422415736614987E-2</v>
      </c>
      <c r="L27">
        <v>-1.2856717291989121E-2</v>
      </c>
      <c r="M27">
        <v>3.8600670689627137E-2</v>
      </c>
    </row>
    <row r="28" spans="1:13" x14ac:dyDescent="0.35">
      <c r="A28" s="1">
        <v>38837</v>
      </c>
      <c r="B28">
        <v>1.333465881196272E-2</v>
      </c>
      <c r="C28">
        <v>-6.1454614714957501E-3</v>
      </c>
      <c r="D28">
        <v>3.4931187274470872E-2</v>
      </c>
      <c r="E28">
        <v>4.9140014901948081E-2</v>
      </c>
      <c r="F28">
        <v>4.240593895799849E-2</v>
      </c>
      <c r="G28">
        <v>2.13680049973437E-2</v>
      </c>
      <c r="H28">
        <v>-1.3185140745913589E-2</v>
      </c>
      <c r="I28">
        <v>1.26936550934289E-2</v>
      </c>
      <c r="J28">
        <v>9.6989926551072081E-3</v>
      </c>
      <c r="K28">
        <v>1.5768556508745309E-2</v>
      </c>
      <c r="L28">
        <v>-3.1446062820661869E-2</v>
      </c>
      <c r="M28">
        <v>0.1144631396598657</v>
      </c>
    </row>
    <row r="29" spans="1:13" x14ac:dyDescent="0.35">
      <c r="A29" s="1">
        <v>38868</v>
      </c>
      <c r="B29">
        <v>-2.9201608694378049E-2</v>
      </c>
      <c r="C29">
        <v>-9.271016646472674E-4</v>
      </c>
      <c r="D29">
        <v>-4.1132631852557111E-2</v>
      </c>
      <c r="E29">
        <v>-2.8221146201233172E-2</v>
      </c>
      <c r="F29">
        <v>-3.8420211018518113E-2</v>
      </c>
      <c r="G29">
        <v>-1.7234414157731859E-2</v>
      </c>
      <c r="H29">
        <v>-6.7196494769779846E-2</v>
      </c>
      <c r="I29">
        <v>-1.6861470982177721E-2</v>
      </c>
      <c r="J29">
        <v>2.095953802225381E-3</v>
      </c>
      <c r="K29">
        <v>1.6152110051226739E-2</v>
      </c>
      <c r="L29">
        <v>-2.1197638842286981E-2</v>
      </c>
      <c r="M29">
        <v>-1.4204281507483429E-2</v>
      </c>
    </row>
    <row r="30" spans="1:13" x14ac:dyDescent="0.35">
      <c r="A30" s="1">
        <v>38898</v>
      </c>
      <c r="B30">
        <v>1.352102199196459E-3</v>
      </c>
      <c r="C30">
        <v>3.1406049328426282E-3</v>
      </c>
      <c r="D30">
        <v>5.1476387150390934E-3</v>
      </c>
      <c r="E30">
        <v>2.506553864721139E-2</v>
      </c>
      <c r="F30">
        <v>-4.6352097612598619E-3</v>
      </c>
      <c r="G30">
        <v>-1.285744348227702E-3</v>
      </c>
      <c r="H30">
        <v>-4.9066368288595008E-3</v>
      </c>
      <c r="I30">
        <v>-1.7517199232934819E-3</v>
      </c>
      <c r="J30">
        <v>1.8236783661574218E-2</v>
      </c>
      <c r="K30">
        <v>2.268529401414288E-2</v>
      </c>
      <c r="L30">
        <v>3.4912476973847362E-4</v>
      </c>
      <c r="M30">
        <v>-4.6556918863561059E-2</v>
      </c>
    </row>
    <row r="31" spans="1:13" x14ac:dyDescent="0.35">
      <c r="A31" s="1">
        <v>38929</v>
      </c>
      <c r="B31">
        <v>6.1541984983826126E-3</v>
      </c>
      <c r="C31">
        <v>1.543800730712697E-2</v>
      </c>
      <c r="D31">
        <v>-3.810006544677691E-2</v>
      </c>
      <c r="E31">
        <v>3.293188387106083E-2</v>
      </c>
      <c r="F31">
        <v>2.26237380861849E-2</v>
      </c>
      <c r="G31">
        <v>-5.8464178923581127E-2</v>
      </c>
      <c r="H31">
        <v>-2.641609279955226E-2</v>
      </c>
      <c r="I31">
        <v>-3.3808288652032559E-2</v>
      </c>
      <c r="J31">
        <v>1.558685977358998E-2</v>
      </c>
      <c r="K31">
        <v>4.688639864766575E-2</v>
      </c>
      <c r="L31">
        <v>5.3127094857389867E-2</v>
      </c>
      <c r="M31">
        <v>3.3373686472073061E-2</v>
      </c>
    </row>
    <row r="32" spans="1:13" x14ac:dyDescent="0.35">
      <c r="A32" s="1">
        <v>38960</v>
      </c>
      <c r="B32">
        <v>2.3514308153752769E-2</v>
      </c>
      <c r="C32">
        <v>1.8472924559065799E-2</v>
      </c>
      <c r="D32">
        <v>2.9653277121754581E-2</v>
      </c>
      <c r="E32">
        <v>-5.2146341409658348E-2</v>
      </c>
      <c r="F32">
        <v>1.172043065174622E-2</v>
      </c>
      <c r="G32">
        <v>1.122559237659404E-2</v>
      </c>
      <c r="H32">
        <v>6.7847760402651502E-2</v>
      </c>
      <c r="I32">
        <v>1.9632278456878541E-2</v>
      </c>
      <c r="J32">
        <v>3.7936424418515191E-2</v>
      </c>
      <c r="K32">
        <v>2.711144402526067E-2</v>
      </c>
      <c r="L32">
        <v>2.813595394822643E-2</v>
      </c>
      <c r="M32">
        <v>-1.4952218756868699E-2</v>
      </c>
    </row>
    <row r="33" spans="1:13" x14ac:dyDescent="0.35">
      <c r="A33" s="1">
        <v>38990</v>
      </c>
      <c r="B33">
        <v>2.5441760867399129E-2</v>
      </c>
      <c r="C33">
        <v>1.1321823443716459E-2</v>
      </c>
      <c r="D33">
        <v>-1.3829268119058821E-4</v>
      </c>
      <c r="E33">
        <v>-3.7274936840027813E-2</v>
      </c>
      <c r="F33">
        <v>3.9463840650629127E-2</v>
      </c>
      <c r="G33">
        <v>3.7468842820973958E-2</v>
      </c>
      <c r="H33">
        <v>3.9543831330592472E-2</v>
      </c>
      <c r="I33">
        <v>6.1759723960944417E-2</v>
      </c>
      <c r="J33">
        <v>-5.0394116773500031E-4</v>
      </c>
      <c r="K33">
        <v>-1.4651581305525241E-2</v>
      </c>
      <c r="L33">
        <v>1.5229884064174909E-2</v>
      </c>
      <c r="M33">
        <v>-4.7332594706711362E-2</v>
      </c>
    </row>
    <row r="34" spans="1:13" x14ac:dyDescent="0.35">
      <c r="A34" s="1">
        <v>39021</v>
      </c>
      <c r="B34">
        <v>3.2063917066571079E-2</v>
      </c>
      <c r="C34">
        <v>5.7469220657706543E-3</v>
      </c>
      <c r="D34">
        <v>5.8316342059206328E-2</v>
      </c>
      <c r="E34">
        <v>4.1771734199825161E-2</v>
      </c>
      <c r="F34">
        <v>2.3127695963832458E-2</v>
      </c>
      <c r="G34">
        <v>2.7804734703946291E-2</v>
      </c>
      <c r="H34">
        <v>3.8783141775728058E-2</v>
      </c>
      <c r="I34">
        <v>6.2658391227644827E-2</v>
      </c>
      <c r="J34">
        <v>1.7574988849274661E-2</v>
      </c>
      <c r="K34">
        <v>5.1601871022171057E-2</v>
      </c>
      <c r="L34">
        <v>3.3088346849341481E-3</v>
      </c>
      <c r="M34">
        <v>1.37772948584951E-2</v>
      </c>
    </row>
    <row r="35" spans="1:13" x14ac:dyDescent="0.35">
      <c r="A35" s="1">
        <v>39051</v>
      </c>
      <c r="B35">
        <v>1.8841533781144729E-2</v>
      </c>
      <c r="C35">
        <v>1.290536395880881E-2</v>
      </c>
      <c r="D35">
        <v>4.2609448186263332E-2</v>
      </c>
      <c r="E35">
        <v>8.2290150387417604E-2</v>
      </c>
      <c r="F35">
        <v>7.0310041503311993E-3</v>
      </c>
      <c r="G35">
        <v>2.420814043934616E-2</v>
      </c>
      <c r="H35">
        <v>2.8025336424768451E-2</v>
      </c>
      <c r="I35">
        <v>1.25525672983362E-2</v>
      </c>
      <c r="J35">
        <v>-8.5536105008041652E-3</v>
      </c>
      <c r="K35">
        <v>2.6198039452788539E-2</v>
      </c>
      <c r="L35">
        <v>-1.202041134742871E-3</v>
      </c>
      <c r="M35">
        <v>6.6021101097793355E-2</v>
      </c>
    </row>
    <row r="36" spans="1:13" x14ac:dyDescent="0.35">
      <c r="A36" s="1">
        <v>39082</v>
      </c>
      <c r="B36">
        <v>1.392922222168291E-2</v>
      </c>
      <c r="C36">
        <v>-1.2981772745855659E-2</v>
      </c>
      <c r="D36">
        <v>6.297073910596751E-3</v>
      </c>
      <c r="E36">
        <v>-2.857784507503025E-2</v>
      </c>
      <c r="F36">
        <v>3.6943349260629699E-2</v>
      </c>
      <c r="G36">
        <v>4.9145872322622353E-3</v>
      </c>
      <c r="H36">
        <v>-5.401177785929967E-3</v>
      </c>
      <c r="I36">
        <v>2.1453679454932931E-2</v>
      </c>
      <c r="J36">
        <v>2.4778917435236639E-2</v>
      </c>
      <c r="K36">
        <v>8.5012198377913961E-3</v>
      </c>
      <c r="L36">
        <v>1.039820965828264E-2</v>
      </c>
      <c r="M36">
        <v>-1.7592109329294559E-2</v>
      </c>
    </row>
    <row r="37" spans="1:13" x14ac:dyDescent="0.35">
      <c r="A37" s="1">
        <v>39113</v>
      </c>
      <c r="B37">
        <v>1.500943430520341E-2</v>
      </c>
      <c r="C37">
        <v>-3.674504632009246E-3</v>
      </c>
      <c r="D37">
        <v>3.9673880941490491E-2</v>
      </c>
      <c r="E37">
        <v>-9.2531130899309311E-3</v>
      </c>
      <c r="F37">
        <v>9.2120100912049807E-3</v>
      </c>
      <c r="G37">
        <v>2.0636814226469902E-2</v>
      </c>
      <c r="H37">
        <v>2.0005340255742961E-2</v>
      </c>
      <c r="I37">
        <v>2.8272009343234039E-2</v>
      </c>
      <c r="J37">
        <v>2.0087966187411151E-2</v>
      </c>
      <c r="K37">
        <v>-3.5467068551091612E-3</v>
      </c>
      <c r="L37">
        <v>3.0002813220839641E-2</v>
      </c>
      <c r="M37">
        <v>2.5584774073330149E-2</v>
      </c>
    </row>
    <row r="38" spans="1:13" x14ac:dyDescent="0.35">
      <c r="A38" s="1">
        <v>39141</v>
      </c>
      <c r="B38">
        <v>-1.9755003630456791E-2</v>
      </c>
      <c r="C38">
        <v>2.1171637247095809E-2</v>
      </c>
      <c r="D38">
        <v>2.6406516972664381E-2</v>
      </c>
      <c r="E38">
        <v>-2.0697906389441471E-2</v>
      </c>
      <c r="F38">
        <v>-3.0948864408307571E-2</v>
      </c>
      <c r="G38">
        <v>-1.1254550732248351E-2</v>
      </c>
      <c r="H38">
        <v>-2.734072737329285E-2</v>
      </c>
      <c r="I38">
        <v>-3.0360047299221371E-2</v>
      </c>
      <c r="J38">
        <v>-1.550413239631609E-2</v>
      </c>
      <c r="K38">
        <v>5.1662464845451783E-2</v>
      </c>
      <c r="L38">
        <v>-2.345531274023438E-2</v>
      </c>
      <c r="M38">
        <v>2.4423731135597041E-2</v>
      </c>
    </row>
    <row r="39" spans="1:13" x14ac:dyDescent="0.35">
      <c r="A39" s="1">
        <v>39172</v>
      </c>
      <c r="B39">
        <v>1.112472318913404E-2</v>
      </c>
      <c r="C39">
        <v>-1.3900631523560141E-3</v>
      </c>
      <c r="D39">
        <v>2.3337427502702731E-2</v>
      </c>
      <c r="E39">
        <v>6.0980192534840771E-2</v>
      </c>
      <c r="F39">
        <v>-4.7401384768268606E-3</v>
      </c>
      <c r="G39">
        <v>8.0857018862379171E-3</v>
      </c>
      <c r="H39">
        <v>9.9117765187730633E-3</v>
      </c>
      <c r="I39">
        <v>-4.7384830616521434E-3</v>
      </c>
      <c r="J39">
        <v>2.0452940635081521E-2</v>
      </c>
      <c r="K39">
        <v>3.5297832772777323E-2</v>
      </c>
      <c r="L39">
        <v>1.9505459228588149E-3</v>
      </c>
      <c r="M39">
        <v>-8.3261929460327622E-3</v>
      </c>
    </row>
    <row r="40" spans="1:13" x14ac:dyDescent="0.35">
      <c r="A40" s="1">
        <v>39202</v>
      </c>
      <c r="B40">
        <v>4.3344471506268079E-2</v>
      </c>
      <c r="C40">
        <v>5.8103737773747E-3</v>
      </c>
      <c r="D40">
        <v>1.4869124167736111E-2</v>
      </c>
      <c r="E40">
        <v>4.9989732722026232E-2</v>
      </c>
      <c r="F40">
        <v>3.8000260377104578E-2</v>
      </c>
      <c r="G40">
        <v>4.5369006125272282E-2</v>
      </c>
      <c r="H40">
        <v>4.6091049395044603E-2</v>
      </c>
      <c r="I40">
        <v>2.339013132844148E-2</v>
      </c>
      <c r="J40">
        <v>2.7754487609444659E-2</v>
      </c>
      <c r="K40">
        <v>4.7950063434510692E-2</v>
      </c>
      <c r="L40">
        <v>7.0556562979854576E-2</v>
      </c>
      <c r="M40">
        <v>2.182988530608743E-2</v>
      </c>
    </row>
    <row r="41" spans="1:13" x14ac:dyDescent="0.35">
      <c r="A41" s="1">
        <v>39233</v>
      </c>
      <c r="B41">
        <v>3.4298233278684982E-2</v>
      </c>
      <c r="C41">
        <v>-1.479834969157867E-2</v>
      </c>
      <c r="D41">
        <v>5.7359601512811942E-2</v>
      </c>
      <c r="E41">
        <v>7.4920007903326979E-2</v>
      </c>
      <c r="F41">
        <v>2.3763038091851652E-2</v>
      </c>
      <c r="G41">
        <v>5.0580689549458928E-2</v>
      </c>
      <c r="H41">
        <v>4.9141107633561283E-2</v>
      </c>
      <c r="I41">
        <v>2.9611016767825848E-2</v>
      </c>
      <c r="J41">
        <v>1.3413081719601649E-2</v>
      </c>
      <c r="K41">
        <v>4.5513728349888538E-3</v>
      </c>
      <c r="L41">
        <v>1.7024296815355559E-2</v>
      </c>
      <c r="M41">
        <v>-2.68136606295819E-2</v>
      </c>
    </row>
    <row r="42" spans="1:13" x14ac:dyDescent="0.35">
      <c r="A42" s="1">
        <v>39263</v>
      </c>
      <c r="B42">
        <v>-1.6751876047834461E-2</v>
      </c>
      <c r="C42">
        <v>-4.6006811059280386E-3</v>
      </c>
      <c r="D42">
        <v>-5.3329145226030938E-3</v>
      </c>
      <c r="E42">
        <v>1.29505630320681E-2</v>
      </c>
      <c r="F42">
        <v>-4.0992569436939068E-2</v>
      </c>
      <c r="G42">
        <v>2.6952823714232471E-4</v>
      </c>
      <c r="H42">
        <v>-1.2492504807011251E-3</v>
      </c>
      <c r="I42">
        <v>-1.7623646873693222E-2</v>
      </c>
      <c r="J42">
        <v>-2.0126985556598861E-2</v>
      </c>
      <c r="K42">
        <v>-4.8636079337317728E-2</v>
      </c>
      <c r="L42">
        <v>-3.4050632595400199E-2</v>
      </c>
      <c r="M42">
        <v>-1.6563367633634311E-2</v>
      </c>
    </row>
    <row r="43" spans="1:13" x14ac:dyDescent="0.35">
      <c r="A43" s="1">
        <v>39294</v>
      </c>
      <c r="B43">
        <v>-3.1496956379769792E-2</v>
      </c>
      <c r="C43">
        <v>2.137808336555214E-2</v>
      </c>
      <c r="D43">
        <v>-2.7028518090113529E-2</v>
      </c>
      <c r="E43">
        <v>1.4494146530275029E-4</v>
      </c>
      <c r="F43">
        <v>-9.5033870024341383E-2</v>
      </c>
      <c r="G43">
        <v>9.4331102408249379E-3</v>
      </c>
      <c r="H43">
        <v>-1.954657827476058E-3</v>
      </c>
      <c r="I43">
        <v>-6.106983001194255E-2</v>
      </c>
      <c r="J43">
        <v>-2.887961878763079E-2</v>
      </c>
      <c r="K43">
        <v>-4.0737476396771832E-2</v>
      </c>
      <c r="L43">
        <v>-4.8747799049702063E-2</v>
      </c>
      <c r="M43">
        <v>2.230009834245017E-2</v>
      </c>
    </row>
    <row r="44" spans="1:13" x14ac:dyDescent="0.35">
      <c r="A44" s="1">
        <v>39325</v>
      </c>
      <c r="B44">
        <v>1.4877181090362511E-2</v>
      </c>
      <c r="C44">
        <v>2.1222815770124189E-2</v>
      </c>
      <c r="D44">
        <v>-6.8722714329414458E-3</v>
      </c>
      <c r="E44">
        <v>1.1957397090069041E-2</v>
      </c>
      <c r="F44">
        <v>2.5507472783557809E-2</v>
      </c>
      <c r="G44">
        <v>2.5333758462675599E-4</v>
      </c>
      <c r="H44">
        <v>1.899633254039701E-2</v>
      </c>
      <c r="I44">
        <v>6.197290413958001E-3</v>
      </c>
      <c r="J44">
        <v>2.331873889574387E-2</v>
      </c>
      <c r="K44">
        <v>1.566626777861346E-2</v>
      </c>
      <c r="L44">
        <v>2.2638130995911609E-2</v>
      </c>
      <c r="M44">
        <v>1.345714088003902E-2</v>
      </c>
    </row>
    <row r="45" spans="1:13" x14ac:dyDescent="0.35">
      <c r="A45" s="1">
        <v>39355</v>
      </c>
      <c r="B45">
        <v>3.6717942250893643E-2</v>
      </c>
      <c r="C45">
        <v>3.463427877395731E-3</v>
      </c>
      <c r="D45">
        <v>7.7457532851514355E-2</v>
      </c>
      <c r="E45">
        <v>7.1382163477602401E-2</v>
      </c>
      <c r="F45">
        <v>2.4119327558796751E-2</v>
      </c>
      <c r="G45">
        <v>4.6290319693171433E-2</v>
      </c>
      <c r="H45">
        <v>3.7088246469092027E-2</v>
      </c>
      <c r="I45">
        <v>-8.8353862957544216E-3</v>
      </c>
      <c r="J45">
        <v>4.4918237459722572E-2</v>
      </c>
      <c r="K45">
        <v>3.7644006717425071E-2</v>
      </c>
      <c r="L45">
        <v>3.072256564772502E-2</v>
      </c>
      <c r="M45">
        <v>9.9312260296054333E-2</v>
      </c>
    </row>
    <row r="46" spans="1:13" x14ac:dyDescent="0.35">
      <c r="A46" s="1">
        <v>39386</v>
      </c>
      <c r="B46">
        <v>1.5781934797320041E-2</v>
      </c>
      <c r="C46">
        <v>1.093104846909565E-2</v>
      </c>
      <c r="D46">
        <v>4.0717527273505638E-2</v>
      </c>
      <c r="E46">
        <v>2.508336018458035E-2</v>
      </c>
      <c r="F46">
        <v>-1.7340450229357259E-2</v>
      </c>
      <c r="G46">
        <v>-1.2985141705582849E-2</v>
      </c>
      <c r="H46">
        <v>5.166340127578728E-2</v>
      </c>
      <c r="I46">
        <v>-4.8997104912076317E-3</v>
      </c>
      <c r="J46">
        <v>1.525130597126623E-2</v>
      </c>
      <c r="K46">
        <v>6.4460470632998312E-2</v>
      </c>
      <c r="L46">
        <v>1.849811489301878E-2</v>
      </c>
      <c r="M46">
        <v>6.9100450423099424E-2</v>
      </c>
    </row>
    <row r="47" spans="1:13" x14ac:dyDescent="0.35">
      <c r="A47" s="1">
        <v>39416</v>
      </c>
      <c r="B47">
        <v>-4.2707552193816938E-2</v>
      </c>
      <c r="C47">
        <v>3.7032108405185227E-2</v>
      </c>
      <c r="D47">
        <v>-5.1701135442191237E-2</v>
      </c>
      <c r="E47">
        <v>-4.3024375700639883E-2</v>
      </c>
      <c r="F47">
        <v>-8.4400318038436062E-2</v>
      </c>
      <c r="G47">
        <v>-2.877040151845733E-2</v>
      </c>
      <c r="H47">
        <v>-7.834198153144234E-2</v>
      </c>
      <c r="I47">
        <v>-5.6115390092422952E-2</v>
      </c>
      <c r="J47">
        <v>2.70850446239983E-2</v>
      </c>
      <c r="K47">
        <v>6.5742561200905492E-3</v>
      </c>
      <c r="L47">
        <v>1.269350900041211E-2</v>
      </c>
      <c r="M47">
        <v>-1.6768830301163721E-2</v>
      </c>
    </row>
    <row r="48" spans="1:13" x14ac:dyDescent="0.35">
      <c r="A48" s="1">
        <v>39447</v>
      </c>
      <c r="B48">
        <v>-6.9611876840447451E-3</v>
      </c>
      <c r="C48">
        <v>5.5488123497582365E-4</v>
      </c>
      <c r="D48">
        <v>1.066506644672716E-2</v>
      </c>
      <c r="E48">
        <v>7.9562673734705047E-2</v>
      </c>
      <c r="F48">
        <v>-6.0039038266756162E-2</v>
      </c>
      <c r="G48">
        <v>-1.335150661688989E-3</v>
      </c>
      <c r="H48">
        <v>1.9717765533758591E-2</v>
      </c>
      <c r="I48">
        <v>-5.0800246316771158E-2</v>
      </c>
      <c r="J48">
        <v>-8.33351038862995E-3</v>
      </c>
      <c r="K48">
        <v>-1.813933399430923E-3</v>
      </c>
      <c r="L48">
        <v>-2.8683986272549419E-2</v>
      </c>
      <c r="M48">
        <v>6.2038749447342667E-2</v>
      </c>
    </row>
    <row r="49" spans="1:13" x14ac:dyDescent="0.35">
      <c r="A49" s="1">
        <v>39478</v>
      </c>
      <c r="B49">
        <v>-6.1855236207609472E-2</v>
      </c>
      <c r="C49">
        <v>3.3043667821230471E-2</v>
      </c>
      <c r="D49">
        <v>-4.2872374059616192E-2</v>
      </c>
      <c r="E49">
        <v>-0.13110432065859359</v>
      </c>
      <c r="F49">
        <v>7.2330690842781209E-3</v>
      </c>
      <c r="G49">
        <v>-5.6738049575260519E-2</v>
      </c>
      <c r="H49">
        <v>-0.13685952980738619</v>
      </c>
      <c r="I49">
        <v>-3.676580677039798E-3</v>
      </c>
      <c r="J49">
        <v>-5.7158496566495298E-2</v>
      </c>
      <c r="K49">
        <v>-7.6309318567602258E-2</v>
      </c>
      <c r="L49">
        <v>-4.6668241256313969E-2</v>
      </c>
      <c r="M49">
        <v>0.1051085947596562</v>
      </c>
    </row>
    <row r="50" spans="1:13" x14ac:dyDescent="0.35">
      <c r="A50" s="1">
        <v>39507</v>
      </c>
      <c r="B50">
        <v>-3.3022297164770009E-2</v>
      </c>
      <c r="C50">
        <v>1.36922269033013E-2</v>
      </c>
      <c r="D50">
        <v>2.276745886927101E-2</v>
      </c>
      <c r="E50">
        <v>8.8626669337276809E-2</v>
      </c>
      <c r="F50">
        <v>-0.1205753305399249</v>
      </c>
      <c r="G50">
        <v>-2.0478474050473761E-2</v>
      </c>
      <c r="H50">
        <v>-4.8467901519695822E-2</v>
      </c>
      <c r="I50">
        <v>-3.9441741387168161E-2</v>
      </c>
      <c r="J50">
        <v>-2.576902151185223E-3</v>
      </c>
      <c r="K50">
        <v>-4.1916502451848192E-2</v>
      </c>
      <c r="L50">
        <v>-2.706903864918031E-2</v>
      </c>
      <c r="M50">
        <v>5.0326408790930088E-2</v>
      </c>
    </row>
    <row r="51" spans="1:13" x14ac:dyDescent="0.35">
      <c r="A51" s="1">
        <v>39538</v>
      </c>
      <c r="B51">
        <v>-4.3288530319065543E-3</v>
      </c>
      <c r="C51">
        <v>1.3180791347795481E-2</v>
      </c>
      <c r="D51">
        <v>-1.4157455179150791E-2</v>
      </c>
      <c r="E51">
        <v>-2.3640210903508319E-2</v>
      </c>
      <c r="F51">
        <v>-2.984207827614194E-2</v>
      </c>
      <c r="G51">
        <v>3.5663168559919363E-2</v>
      </c>
      <c r="H51">
        <v>1.14945873643979E-2</v>
      </c>
      <c r="I51">
        <v>-1.8026298131061491E-2</v>
      </c>
      <c r="J51">
        <v>3.1885004109664987E-2</v>
      </c>
      <c r="K51">
        <v>1.592492637423959E-2</v>
      </c>
      <c r="L51">
        <v>-4.6506391147687072E-2</v>
      </c>
      <c r="M51">
        <v>-6.031021391129876E-2</v>
      </c>
    </row>
    <row r="52" spans="1:13" x14ac:dyDescent="0.35">
      <c r="A52" s="1">
        <v>39568</v>
      </c>
      <c r="B52">
        <v>4.7553087480943113E-2</v>
      </c>
      <c r="C52">
        <v>-2.4393871951342131E-2</v>
      </c>
      <c r="D52">
        <v>5.1902669651074262E-2</v>
      </c>
      <c r="E52">
        <v>9.8790010638470704E-2</v>
      </c>
      <c r="F52">
        <v>6.762499189037241E-2</v>
      </c>
      <c r="G52">
        <v>2.8987454119255851E-2</v>
      </c>
      <c r="H52">
        <v>6.0624832785259652E-2</v>
      </c>
      <c r="I52">
        <v>2.3485300656942879E-2</v>
      </c>
      <c r="J52">
        <v>-7.5660190375996814E-3</v>
      </c>
      <c r="K52">
        <v>4.9869011800136587E-2</v>
      </c>
      <c r="L52">
        <v>9.8966211797457682E-3</v>
      </c>
      <c r="M52">
        <v>-4.3864481282155587E-2</v>
      </c>
    </row>
    <row r="53" spans="1:13" x14ac:dyDescent="0.35">
      <c r="A53" s="1">
        <v>39599</v>
      </c>
      <c r="B53">
        <v>1.287044254670189E-2</v>
      </c>
      <c r="C53">
        <v>-1.7416398108673011E-2</v>
      </c>
      <c r="D53">
        <v>5.0690129188793343E-2</v>
      </c>
      <c r="E53">
        <v>5.0681989074608857E-2</v>
      </c>
      <c r="F53">
        <v>-7.2057634409457005E-2</v>
      </c>
      <c r="G53">
        <v>8.7923927119630818E-3</v>
      </c>
      <c r="H53">
        <v>6.3092999055040178E-2</v>
      </c>
      <c r="I53">
        <v>2.6977665589390298E-2</v>
      </c>
      <c r="J53">
        <v>2.9926989842306021E-2</v>
      </c>
      <c r="K53">
        <v>3.5229921942507847E-2</v>
      </c>
      <c r="L53">
        <v>1.888045660946203E-2</v>
      </c>
      <c r="M53">
        <v>1.014719174056289E-2</v>
      </c>
    </row>
    <row r="54" spans="1:13" x14ac:dyDescent="0.35">
      <c r="A54" s="1">
        <v>39629</v>
      </c>
      <c r="B54">
        <v>-8.8071637334978803E-2</v>
      </c>
      <c r="C54">
        <v>9.6232783853054116E-3</v>
      </c>
      <c r="D54">
        <v>-5.9922832115894657E-2</v>
      </c>
      <c r="E54">
        <v>3.106690209350171E-2</v>
      </c>
      <c r="F54">
        <v>-0.19175878653262399</v>
      </c>
      <c r="G54">
        <v>-0.1281234575119132</v>
      </c>
      <c r="H54">
        <v>-9.8355563479530783E-2</v>
      </c>
      <c r="I54">
        <v>-0.12255527118357359</v>
      </c>
      <c r="J54">
        <v>-5.8683693083225297E-2</v>
      </c>
      <c r="K54">
        <v>-7.4917233431448524E-3</v>
      </c>
      <c r="L54">
        <v>-4.3231181150168219E-2</v>
      </c>
      <c r="M54">
        <v>4.2944950958636603E-2</v>
      </c>
    </row>
    <row r="55" spans="1:13" x14ac:dyDescent="0.35">
      <c r="A55" s="1">
        <v>39660</v>
      </c>
      <c r="B55">
        <v>-8.4432271916750068E-3</v>
      </c>
      <c r="C55">
        <v>5.8840510702120596E-3</v>
      </c>
      <c r="D55">
        <v>-3.2885831613882477E-2</v>
      </c>
      <c r="E55">
        <v>-0.17332067872748921</v>
      </c>
      <c r="F55">
        <v>6.5432283775082034E-2</v>
      </c>
      <c r="G55">
        <v>7.9075784056614751E-3</v>
      </c>
      <c r="H55">
        <v>-2.4747649306624989E-2</v>
      </c>
      <c r="I55">
        <v>1.7541416986412981E-3</v>
      </c>
      <c r="J55">
        <v>2.4009136802591868E-2</v>
      </c>
      <c r="K55">
        <v>-6.6538333973031882E-2</v>
      </c>
      <c r="L55">
        <v>4.3826148720297553E-2</v>
      </c>
      <c r="M55">
        <v>-1.228610181312551E-2</v>
      </c>
    </row>
    <row r="56" spans="1:13" x14ac:dyDescent="0.35">
      <c r="A56" s="1">
        <v>39691</v>
      </c>
      <c r="B56">
        <v>1.436229163555236E-2</v>
      </c>
      <c r="C56">
        <v>1.6821086728215029E-2</v>
      </c>
      <c r="D56">
        <v>-1.5725207768946699E-2</v>
      </c>
      <c r="E56">
        <v>3.3542901919396679E-3</v>
      </c>
      <c r="F56">
        <v>-9.7560812358956639E-3</v>
      </c>
      <c r="G56">
        <v>2.7051905210430331E-2</v>
      </c>
      <c r="H56">
        <v>1.773905851422386E-2</v>
      </c>
      <c r="I56">
        <v>6.6770623530332252E-2</v>
      </c>
      <c r="J56">
        <v>2.664878833171969E-2</v>
      </c>
      <c r="K56">
        <v>-1.109063209573558E-2</v>
      </c>
      <c r="L56">
        <v>2.0446572591139581E-2</v>
      </c>
      <c r="M56">
        <v>-9.512969067830479E-2</v>
      </c>
    </row>
    <row r="57" spans="1:13" x14ac:dyDescent="0.35">
      <c r="A57" s="1">
        <v>39721</v>
      </c>
      <c r="B57">
        <v>-9.3328368683113005E-2</v>
      </c>
      <c r="C57">
        <v>-3.2970656414743621E-4</v>
      </c>
      <c r="D57">
        <v>-0.16815244781051361</v>
      </c>
      <c r="E57">
        <v>-0.16170567326569699</v>
      </c>
      <c r="F57">
        <v>-6.4566895576101846E-2</v>
      </c>
      <c r="G57">
        <v>-0.12864883497440169</v>
      </c>
      <c r="H57">
        <v>-0.13293696657136381</v>
      </c>
      <c r="I57">
        <v>-8.5582309074187179E-2</v>
      </c>
      <c r="J57">
        <v>-1.2591096716846989E-2</v>
      </c>
      <c r="K57">
        <v>-0.1163376794827822</v>
      </c>
      <c r="L57">
        <v>-7.7216170397552908E-2</v>
      </c>
      <c r="M57">
        <v>4.6774285942002607E-2</v>
      </c>
    </row>
    <row r="58" spans="1:13" x14ac:dyDescent="0.35">
      <c r="A58" s="1">
        <v>39752</v>
      </c>
      <c r="B58">
        <v>-0.18386341830024741</v>
      </c>
      <c r="C58">
        <v>-1.25099104616746E-2</v>
      </c>
      <c r="D58">
        <v>-0.25354135229123997</v>
      </c>
      <c r="E58">
        <v>-0.20824695255085771</v>
      </c>
      <c r="F58">
        <v>-0.24744341087625801</v>
      </c>
      <c r="G58">
        <v>-0.2014646170480163</v>
      </c>
      <c r="H58">
        <v>-0.1757936770661388</v>
      </c>
      <c r="I58">
        <v>-0.1940024898503028</v>
      </c>
      <c r="J58">
        <v>-0.1347747439350182</v>
      </c>
      <c r="K58">
        <v>-0.1392649315006933</v>
      </c>
      <c r="L58">
        <v>-0.12195161629547301</v>
      </c>
      <c r="M58">
        <v>-0.1850003813234187</v>
      </c>
    </row>
    <row r="59" spans="1:13" x14ac:dyDescent="0.35">
      <c r="A59" s="1">
        <v>39782</v>
      </c>
      <c r="B59">
        <v>-7.4456191361283786E-2</v>
      </c>
      <c r="C59">
        <v>7.6873230761956179E-2</v>
      </c>
      <c r="D59">
        <v>-0.11302009471922329</v>
      </c>
      <c r="E59">
        <v>-2.203122682950109E-2</v>
      </c>
      <c r="F59">
        <v>-0.2043261946944708</v>
      </c>
      <c r="G59">
        <v>-8.5785102529096324E-2</v>
      </c>
      <c r="H59">
        <v>-8.7830921317264332E-2</v>
      </c>
      <c r="I59">
        <v>-0.114687475069573</v>
      </c>
      <c r="J59">
        <v>-2.0751897455935091E-3</v>
      </c>
      <c r="K59">
        <v>4.1001320754554982E-2</v>
      </c>
      <c r="L59">
        <v>-6.5240467316059814E-2</v>
      </c>
      <c r="M59">
        <v>0.1223392708290332</v>
      </c>
    </row>
    <row r="60" spans="1:13" x14ac:dyDescent="0.35">
      <c r="A60" s="1">
        <v>39813</v>
      </c>
      <c r="B60">
        <v>1.0585865825214921E-2</v>
      </c>
      <c r="C60">
        <v>5.078916312955073E-2</v>
      </c>
      <c r="D60">
        <v>-5.7742391853343733E-3</v>
      </c>
      <c r="E60">
        <v>-4.603494379524431E-2</v>
      </c>
      <c r="F60">
        <v>3.6998830345416072E-3</v>
      </c>
      <c r="G60">
        <v>2.2995360584398661E-2</v>
      </c>
      <c r="H60">
        <v>1.5773394174548368E-2</v>
      </c>
      <c r="I60">
        <v>5.8937381489815088E-2</v>
      </c>
      <c r="J60">
        <v>1.6010122760556911E-4</v>
      </c>
      <c r="K60">
        <v>-2.4302698735031211E-2</v>
      </c>
      <c r="L60">
        <v>6.9433609257889994E-2</v>
      </c>
      <c r="M60">
        <v>7.5325284313329632E-2</v>
      </c>
    </row>
    <row r="61" spans="1:13" x14ac:dyDescent="0.35">
      <c r="A61" s="1">
        <v>39844</v>
      </c>
      <c r="B61">
        <v>-8.8054271707735055E-2</v>
      </c>
      <c r="C61">
        <v>-3.9994538606062953E-2</v>
      </c>
      <c r="D61">
        <v>-7.6749629252558682E-2</v>
      </c>
      <c r="E61">
        <v>-1.7954301034710959E-2</v>
      </c>
      <c r="F61">
        <v>-0.30378574524001589</v>
      </c>
      <c r="G61">
        <v>-0.12781445232304159</v>
      </c>
      <c r="H61">
        <v>-4.8530593648767661E-2</v>
      </c>
      <c r="I61">
        <v>-0.11223539365972129</v>
      </c>
      <c r="J61">
        <v>-7.4785420355309551E-2</v>
      </c>
      <c r="K61">
        <v>-1.723840812416277E-3</v>
      </c>
      <c r="L61">
        <v>-1.2126003171381241E-2</v>
      </c>
      <c r="M61">
        <v>5.062133804793234E-2</v>
      </c>
    </row>
    <row r="62" spans="1:13" x14ac:dyDescent="0.35">
      <c r="A62" s="1">
        <v>39872</v>
      </c>
      <c r="B62">
        <v>-0.1125843216782121</v>
      </c>
      <c r="C62">
        <v>-7.9539766751395291E-3</v>
      </c>
      <c r="D62">
        <v>-8.3649658911872704E-2</v>
      </c>
      <c r="E62">
        <v>-0.13170568675067559</v>
      </c>
      <c r="F62">
        <v>-0.1953936461145469</v>
      </c>
      <c r="G62">
        <v>-0.186697678154057</v>
      </c>
      <c r="H62">
        <v>-3.8893814107288087E-2</v>
      </c>
      <c r="I62">
        <v>-9.5154597428986465E-2</v>
      </c>
      <c r="J62">
        <v>-8.4265448402892851E-2</v>
      </c>
      <c r="K62">
        <v>-0.1338277432589674</v>
      </c>
      <c r="L62">
        <v>-0.13228012511553011</v>
      </c>
      <c r="M62">
        <v>1.547483786018145E-2</v>
      </c>
    </row>
    <row r="63" spans="1:13" x14ac:dyDescent="0.35">
      <c r="A63" s="1">
        <v>39903</v>
      </c>
      <c r="B63">
        <v>8.3971603620033974E-2</v>
      </c>
      <c r="C63">
        <v>3.4545749525256568E-2</v>
      </c>
      <c r="D63">
        <v>0.14288291445335721</v>
      </c>
      <c r="E63">
        <v>3.6950703928952937E-2</v>
      </c>
      <c r="F63">
        <v>0.15771942283663409</v>
      </c>
      <c r="G63">
        <v>8.4499830912122764E-2</v>
      </c>
      <c r="H63">
        <v>0.1059887903782846</v>
      </c>
      <c r="I63">
        <v>0.1195380691133086</v>
      </c>
      <c r="J63">
        <v>4.1606722305910449E-2</v>
      </c>
      <c r="K63">
        <v>1.8845304252993911E-2</v>
      </c>
      <c r="L63">
        <v>5.832354145008356E-2</v>
      </c>
      <c r="M63">
        <v>-2.4678021050678289E-2</v>
      </c>
    </row>
    <row r="64" spans="1:13" x14ac:dyDescent="0.35">
      <c r="A64" s="1">
        <v>39933</v>
      </c>
      <c r="B64">
        <v>9.1401768704758801E-2</v>
      </c>
      <c r="C64">
        <v>-2.781606291489069E-2</v>
      </c>
      <c r="D64">
        <v>0.1447804743171508</v>
      </c>
      <c r="E64">
        <v>7.5285152965650415E-2</v>
      </c>
      <c r="F64">
        <v>0.1971564895317135</v>
      </c>
      <c r="G64">
        <v>0.1660933851646926</v>
      </c>
      <c r="H64">
        <v>9.9260172120183343E-2</v>
      </c>
      <c r="I64">
        <v>0.16994680035223689</v>
      </c>
      <c r="J64">
        <v>4.1769185103075479E-2</v>
      </c>
      <c r="K64">
        <v>1.167309579419706E-2</v>
      </c>
      <c r="L64">
        <v>-1.2394111068032569E-3</v>
      </c>
      <c r="M64">
        <v>-3.4469955741848857E-2</v>
      </c>
    </row>
    <row r="65" spans="1:13" x14ac:dyDescent="0.35">
      <c r="A65" s="1">
        <v>39964</v>
      </c>
      <c r="B65">
        <v>5.4423420926267951E-2</v>
      </c>
      <c r="C65">
        <v>-2.048275562768254E-2</v>
      </c>
      <c r="D65">
        <v>5.6790683541326097E-2</v>
      </c>
      <c r="E65">
        <v>0.1212235602340619</v>
      </c>
      <c r="F65">
        <v>0.13084799115763229</v>
      </c>
      <c r="G65">
        <v>3.2997348846484982E-2</v>
      </c>
      <c r="H65">
        <v>2.2923334190408928E-2</v>
      </c>
      <c r="I65">
        <v>-7.3260958481173866E-3</v>
      </c>
      <c r="J65">
        <v>4.9655330308063572E-2</v>
      </c>
      <c r="K65">
        <v>3.4971237339895163E-2</v>
      </c>
      <c r="L65">
        <v>6.6010802854624906E-2</v>
      </c>
      <c r="M65">
        <v>9.7518543854868689E-2</v>
      </c>
    </row>
    <row r="66" spans="1:13" x14ac:dyDescent="0.35">
      <c r="A66" s="1">
        <v>39994</v>
      </c>
      <c r="B66">
        <v>1.9833462533807018E-3</v>
      </c>
      <c r="C66">
        <v>-3.413132902759131E-3</v>
      </c>
      <c r="D66">
        <v>-4.6433645316349192E-2</v>
      </c>
      <c r="E66">
        <v>-6.7731712293311208E-2</v>
      </c>
      <c r="F66">
        <v>-1.8016822579884909E-2</v>
      </c>
      <c r="G66">
        <v>-1.7188997497497471E-2</v>
      </c>
      <c r="H66">
        <v>3.5750555587137578E-2</v>
      </c>
      <c r="I66">
        <v>2.5310707288110912E-3</v>
      </c>
      <c r="J66">
        <v>1.9875611869379921E-3</v>
      </c>
      <c r="K66">
        <v>5.2323560356896781E-2</v>
      </c>
      <c r="L66">
        <v>2.3424976750781479E-2</v>
      </c>
      <c r="M66">
        <v>-5.5301440987456367E-2</v>
      </c>
    </row>
    <row r="67" spans="1:13" x14ac:dyDescent="0.35">
      <c r="A67" s="1">
        <v>40025</v>
      </c>
      <c r="B67">
        <v>7.2909817084689799E-2</v>
      </c>
      <c r="C67">
        <v>6.4095768702161493E-3</v>
      </c>
      <c r="D67">
        <v>0.1210507762504069</v>
      </c>
      <c r="E67">
        <v>5.2104617771359767E-2</v>
      </c>
      <c r="F67">
        <v>8.4986980260698175E-2</v>
      </c>
      <c r="G67">
        <v>8.3818251657753251E-2</v>
      </c>
      <c r="H67">
        <v>7.8647693037191102E-2</v>
      </c>
      <c r="I67">
        <v>9.0651461428127966E-2</v>
      </c>
      <c r="J67">
        <v>6.4429265650074896E-2</v>
      </c>
      <c r="K67">
        <v>3.6956686317942473E-2</v>
      </c>
      <c r="L67">
        <v>5.7601806580790622E-2</v>
      </c>
      <c r="M67">
        <v>2.9249625722872711E-2</v>
      </c>
    </row>
    <row r="68" spans="1:13" x14ac:dyDescent="0.35">
      <c r="A68" s="1">
        <v>40056</v>
      </c>
      <c r="B68">
        <v>3.5466997268577487E-2</v>
      </c>
      <c r="C68">
        <v>9.3990610512921791E-3</v>
      </c>
      <c r="D68">
        <v>2.341859601963403E-2</v>
      </c>
      <c r="E68">
        <v>1.080671563404945E-2</v>
      </c>
      <c r="F68">
        <v>0.1221291148255563</v>
      </c>
      <c r="G68">
        <v>4.6634659845897992E-2</v>
      </c>
      <c r="H68">
        <v>1.6113183710643408E-2</v>
      </c>
      <c r="I68">
        <v>3.4613338322605269E-2</v>
      </c>
      <c r="J68">
        <v>1.216066550646611E-2</v>
      </c>
      <c r="K68">
        <v>9.9707829807624826E-3</v>
      </c>
      <c r="L68">
        <v>2.6554735746774579E-2</v>
      </c>
      <c r="M68">
        <v>-2.949839163141732E-3</v>
      </c>
    </row>
    <row r="69" spans="1:13" x14ac:dyDescent="0.35">
      <c r="A69" s="1">
        <v>40086</v>
      </c>
      <c r="B69">
        <v>3.6638247352514419E-2</v>
      </c>
      <c r="C69">
        <v>1.0839798451973691E-2</v>
      </c>
      <c r="D69">
        <v>4.1349695490216387E-2</v>
      </c>
      <c r="E69">
        <v>5.6780587948683348E-2</v>
      </c>
      <c r="F69">
        <v>1.9289623718220291E-2</v>
      </c>
      <c r="G69">
        <v>5.6699781327002263E-2</v>
      </c>
      <c r="H69">
        <v>4.5282933104517031E-2</v>
      </c>
      <c r="I69">
        <v>5.210683369536584E-2</v>
      </c>
      <c r="J69">
        <v>3.2573197944126608E-2</v>
      </c>
      <c r="K69">
        <v>1.368539328210217E-2</v>
      </c>
      <c r="L69">
        <v>6.1329887810237524E-3</v>
      </c>
      <c r="M69">
        <v>5.7711953001211569E-2</v>
      </c>
    </row>
    <row r="70" spans="1:13" x14ac:dyDescent="0.35">
      <c r="A70" s="1">
        <v>40117</v>
      </c>
      <c r="B70">
        <v>-1.875089734530366E-2</v>
      </c>
      <c r="C70">
        <v>-6.1102287126502119E-4</v>
      </c>
      <c r="D70">
        <v>-5.3098096056467543E-2</v>
      </c>
      <c r="E70">
        <v>2.4366997619208242E-2</v>
      </c>
      <c r="F70">
        <v>-6.1420130392316093E-2</v>
      </c>
      <c r="G70">
        <v>-4.0679811870600879E-2</v>
      </c>
      <c r="H70">
        <v>-1.2536777792496069E-2</v>
      </c>
      <c r="I70">
        <v>-2.3947035973190371E-2</v>
      </c>
      <c r="J70">
        <v>1.4428154614574581E-2</v>
      </c>
      <c r="K70">
        <v>-3.2573756894818118E-2</v>
      </c>
      <c r="L70">
        <v>-2.114966062032364E-2</v>
      </c>
      <c r="M70">
        <v>3.6776908431074951E-2</v>
      </c>
    </row>
    <row r="71" spans="1:13" x14ac:dyDescent="0.35">
      <c r="A71" s="1">
        <v>40147</v>
      </c>
      <c r="B71">
        <v>5.8252159384682763E-2</v>
      </c>
      <c r="C71">
        <v>1.978944425747731E-2</v>
      </c>
      <c r="D71">
        <v>0.10228866385661831</v>
      </c>
      <c r="E71">
        <v>2.8019689608960171E-2</v>
      </c>
      <c r="F71">
        <v>4.2500197997855427E-2</v>
      </c>
      <c r="G71">
        <v>8.4140647029666393E-2</v>
      </c>
      <c r="H71">
        <v>5.3837918867728707E-2</v>
      </c>
      <c r="I71">
        <v>6.4958663002219641E-2</v>
      </c>
      <c r="J71">
        <v>3.6119067436866097E-2</v>
      </c>
      <c r="K71">
        <v>4.7128434627098592E-2</v>
      </c>
      <c r="L71">
        <v>8.890918291133687E-2</v>
      </c>
      <c r="M71">
        <v>0.1207534152502419</v>
      </c>
    </row>
    <row r="72" spans="1:13" x14ac:dyDescent="0.35">
      <c r="A72" s="1">
        <v>40178</v>
      </c>
      <c r="B72">
        <v>1.9131475814902821E-2</v>
      </c>
      <c r="C72">
        <v>-4.2914006275662331E-2</v>
      </c>
      <c r="D72">
        <v>2.0477771064336899E-2</v>
      </c>
      <c r="E72">
        <v>8.7663938224782356E-3</v>
      </c>
      <c r="F72">
        <v>-1.4188873360974521E-2</v>
      </c>
      <c r="G72">
        <v>1.6602642919917528E-2</v>
      </c>
      <c r="H72">
        <v>5.6416162335532587E-2</v>
      </c>
      <c r="I72">
        <v>4.4845382174282467E-2</v>
      </c>
      <c r="J72">
        <v>-2.217546492604416E-3</v>
      </c>
      <c r="K72">
        <v>5.3269269330944891E-2</v>
      </c>
      <c r="L72">
        <v>1.814010750741701E-2</v>
      </c>
      <c r="M72">
        <v>-7.263988039920477E-2</v>
      </c>
    </row>
    <row r="73" spans="1:13" x14ac:dyDescent="0.35">
      <c r="A73" s="1">
        <v>40209</v>
      </c>
      <c r="B73">
        <v>-3.663574392915514E-2</v>
      </c>
      <c r="C73">
        <v>2.1931992501412981E-2</v>
      </c>
      <c r="D73">
        <v>-9.0350984769914433E-2</v>
      </c>
      <c r="E73">
        <v>-4.5026189689475249E-2</v>
      </c>
      <c r="F73">
        <v>-1.539544241727109E-2</v>
      </c>
      <c r="G73">
        <v>-1.4863253464537429E-2</v>
      </c>
      <c r="H73">
        <v>-8.9830433560536882E-2</v>
      </c>
      <c r="I73">
        <v>-2.9313548455709881E-2</v>
      </c>
      <c r="J73">
        <v>-1.0252287595347459E-2</v>
      </c>
      <c r="K73">
        <v>-4.9225549786005907E-2</v>
      </c>
      <c r="L73">
        <v>6.7365630444164992E-3</v>
      </c>
      <c r="M73">
        <v>-1.4489414166176219E-2</v>
      </c>
    </row>
    <row r="74" spans="1:13" x14ac:dyDescent="0.35">
      <c r="A74" s="1">
        <v>40237</v>
      </c>
      <c r="B74">
        <v>3.0505437944867712E-2</v>
      </c>
      <c r="C74">
        <v>5.9486760432054808E-3</v>
      </c>
      <c r="D74">
        <v>4.4134364179146068E-2</v>
      </c>
      <c r="E74">
        <v>2.964781897917312E-2</v>
      </c>
      <c r="F74">
        <v>3.4653173646374207E-2</v>
      </c>
      <c r="G74">
        <v>5.1950088975150521E-2</v>
      </c>
      <c r="H74">
        <v>3.4235521180783657E-2</v>
      </c>
      <c r="I74">
        <v>5.4194277148063907E-2</v>
      </c>
      <c r="J74">
        <v>3.118827746761221E-2</v>
      </c>
      <c r="K74">
        <v>-1.3294606010807449E-2</v>
      </c>
      <c r="L74">
        <v>3.828660805291761E-3</v>
      </c>
      <c r="M74">
        <v>3.3103045755259693E-2</v>
      </c>
    </row>
    <row r="75" spans="1:13" x14ac:dyDescent="0.35">
      <c r="A75" s="1">
        <v>40268</v>
      </c>
      <c r="B75">
        <v>5.8596235801634762E-2</v>
      </c>
      <c r="C75">
        <v>-1.2733566604439689E-2</v>
      </c>
      <c r="D75">
        <v>7.6184458564145352E-2</v>
      </c>
      <c r="E75">
        <v>2.7779834962411432E-2</v>
      </c>
      <c r="F75">
        <v>8.5249680591162669E-2</v>
      </c>
      <c r="G75">
        <v>8.3357252681611982E-2</v>
      </c>
      <c r="H75">
        <v>6.6160144790105679E-2</v>
      </c>
      <c r="I75">
        <v>7.5171494126841321E-2</v>
      </c>
      <c r="J75">
        <v>3.69813240822916E-2</v>
      </c>
      <c r="K75">
        <v>2.6549778724549888E-2</v>
      </c>
      <c r="L75">
        <v>2.632442590085704E-2</v>
      </c>
      <c r="M75">
        <v>-3.8909159557407591E-3</v>
      </c>
    </row>
    <row r="76" spans="1:13" x14ac:dyDescent="0.35">
      <c r="A76" s="1">
        <v>40298</v>
      </c>
      <c r="B76">
        <v>1.5663101405110961E-2</v>
      </c>
      <c r="C76">
        <v>1.6164622514028611E-2</v>
      </c>
      <c r="D76">
        <v>2.0615015633036471E-3</v>
      </c>
      <c r="E76">
        <v>4.0710521651452503E-2</v>
      </c>
      <c r="F76">
        <v>1.307996849625237E-2</v>
      </c>
      <c r="G76">
        <v>4.169196468135361E-2</v>
      </c>
      <c r="H76">
        <v>1.2476166584805441E-2</v>
      </c>
      <c r="I76">
        <v>5.854461737518557E-2</v>
      </c>
      <c r="J76">
        <v>-1.079907961295712E-2</v>
      </c>
      <c r="K76">
        <v>2.595822872805131E-2</v>
      </c>
      <c r="L76">
        <v>-3.9681779567011688E-2</v>
      </c>
      <c r="M76">
        <v>5.7408401304454237E-2</v>
      </c>
    </row>
    <row r="77" spans="1:13" x14ac:dyDescent="0.35">
      <c r="A77" s="1">
        <v>40329</v>
      </c>
      <c r="B77">
        <v>-8.3219198625249291E-2</v>
      </c>
      <c r="C77">
        <v>2.7858453412134662E-2</v>
      </c>
      <c r="D77">
        <v>-0.1001767831631217</v>
      </c>
      <c r="E77">
        <v>-0.12160836056234151</v>
      </c>
      <c r="F77">
        <v>-9.6052935290124708E-2</v>
      </c>
      <c r="G77">
        <v>-9.5617178402535696E-2</v>
      </c>
      <c r="H77">
        <v>-7.7765050707101047E-2</v>
      </c>
      <c r="I77">
        <v>-7.2959839870147647E-2</v>
      </c>
      <c r="J77">
        <v>-4.743377287891537E-2</v>
      </c>
      <c r="K77">
        <v>-5.6772054522009618E-2</v>
      </c>
      <c r="L77">
        <v>-6.730563829444014E-2</v>
      </c>
      <c r="M77">
        <v>3.1121397118124779E-2</v>
      </c>
    </row>
    <row r="78" spans="1:13" x14ac:dyDescent="0.35">
      <c r="A78" s="1">
        <v>40359</v>
      </c>
      <c r="B78">
        <v>-5.3768613675992498E-2</v>
      </c>
      <c r="C78">
        <v>3.0540270142503271E-2</v>
      </c>
      <c r="D78">
        <v>-7.6147935429683677E-2</v>
      </c>
      <c r="E78">
        <v>-6.1083394621591403E-2</v>
      </c>
      <c r="F78">
        <v>-5.8993834641621223E-2</v>
      </c>
      <c r="G78">
        <v>-7.1229759328865327E-2</v>
      </c>
      <c r="H78">
        <v>-5.5476968737029342E-2</v>
      </c>
      <c r="I78">
        <v>-0.10224567385708209</v>
      </c>
      <c r="J78">
        <v>-2.5640180176342401E-2</v>
      </c>
      <c r="K78">
        <v>-7.0449010299866721E-3</v>
      </c>
      <c r="L78">
        <v>-1.8411159335099288E-2</v>
      </c>
      <c r="M78">
        <v>2.1215431205433791E-2</v>
      </c>
    </row>
    <row r="79" spans="1:13" x14ac:dyDescent="0.35">
      <c r="A79" s="1">
        <v>40390</v>
      </c>
      <c r="B79">
        <v>6.7715283678471572E-2</v>
      </c>
      <c r="C79">
        <v>1.0778019562146751E-2</v>
      </c>
      <c r="D79">
        <v>0.1207160873211435</v>
      </c>
      <c r="E79">
        <v>8.0413631063319446E-2</v>
      </c>
      <c r="F79">
        <v>6.3134849060237475E-2</v>
      </c>
      <c r="G79">
        <v>9.9180524793526903E-2</v>
      </c>
      <c r="H79">
        <v>7.1864717231155506E-2</v>
      </c>
      <c r="I79">
        <v>7.6312749510825562E-2</v>
      </c>
      <c r="J79">
        <v>5.6417498453347648E-2</v>
      </c>
      <c r="K79">
        <v>7.200729070753864E-2</v>
      </c>
      <c r="L79">
        <v>1.303503410176177E-2</v>
      </c>
      <c r="M79">
        <v>-5.0667357632462107E-2</v>
      </c>
    </row>
    <row r="80" spans="1:13" x14ac:dyDescent="0.35">
      <c r="A80" s="1">
        <v>40421</v>
      </c>
      <c r="B80">
        <v>-4.6190556653267663E-2</v>
      </c>
      <c r="C80">
        <v>3.2996010836169098E-2</v>
      </c>
      <c r="D80">
        <v>-3.0771200417242909E-2</v>
      </c>
      <c r="E80">
        <v>-5.0276240962489727E-2</v>
      </c>
      <c r="F80">
        <v>-8.1402692282011024E-2</v>
      </c>
      <c r="G80">
        <v>-7.1850603353853959E-2</v>
      </c>
      <c r="H80">
        <v>-5.7749239032079742E-2</v>
      </c>
      <c r="I80">
        <v>-4.0569964102208811E-2</v>
      </c>
      <c r="J80">
        <v>-1.8706553905985409E-2</v>
      </c>
      <c r="K80">
        <v>1.4384299141524609E-2</v>
      </c>
      <c r="L80">
        <v>-1.658737719723247E-2</v>
      </c>
      <c r="M80">
        <v>5.4699847894660543E-2</v>
      </c>
    </row>
    <row r="81" spans="1:13" x14ac:dyDescent="0.35">
      <c r="A81" s="1">
        <v>40451</v>
      </c>
      <c r="B81">
        <v>8.548142904738576E-2</v>
      </c>
      <c r="C81">
        <v>1.094630836844246E-4</v>
      </c>
      <c r="D81">
        <v>7.468921900789427E-2</v>
      </c>
      <c r="E81">
        <v>9.5269786181279237E-2</v>
      </c>
      <c r="F81">
        <v>5.8869815592304857E-2</v>
      </c>
      <c r="G81">
        <v>0.1090947094511696</v>
      </c>
      <c r="H81">
        <v>0.1103212338372113</v>
      </c>
      <c r="I81">
        <v>0.10455322641993001</v>
      </c>
      <c r="J81">
        <v>5.8626717388432059E-2</v>
      </c>
      <c r="K81">
        <v>2.85370557355944E-2</v>
      </c>
      <c r="L81">
        <v>8.6758626098860869E-2</v>
      </c>
      <c r="M81">
        <v>4.785062676516727E-2</v>
      </c>
    </row>
    <row r="82" spans="1:13" x14ac:dyDescent="0.35">
      <c r="A82" s="1">
        <v>40482</v>
      </c>
      <c r="B82">
        <v>3.734620840587155E-2</v>
      </c>
      <c r="C82">
        <v>-6.0219529370275637E-4</v>
      </c>
      <c r="D82">
        <v>5.9799082436491353E-2</v>
      </c>
      <c r="E82">
        <v>5.5174395690690492E-2</v>
      </c>
      <c r="F82">
        <v>1.452825698530757E-2</v>
      </c>
      <c r="G82">
        <v>2.8366558157268958E-2</v>
      </c>
      <c r="H82">
        <v>5.616810343312828E-2</v>
      </c>
      <c r="I82">
        <v>5.3894367012790927E-2</v>
      </c>
      <c r="J82">
        <v>3.1423591707222982E-2</v>
      </c>
      <c r="K82">
        <v>1.0776673146968729E-2</v>
      </c>
      <c r="L82">
        <v>2.2057252565788051E-2</v>
      </c>
      <c r="M82">
        <v>3.8131414055348152E-2</v>
      </c>
    </row>
    <row r="83" spans="1:13" x14ac:dyDescent="0.35">
      <c r="A83" s="1">
        <v>40512</v>
      </c>
      <c r="B83">
        <v>1.261533594103526E-4</v>
      </c>
      <c r="C83">
        <v>-8.3309757214822255E-3</v>
      </c>
      <c r="D83">
        <v>1.114416064883628E-2</v>
      </c>
      <c r="E83">
        <v>5.6923369071713907E-2</v>
      </c>
      <c r="F83">
        <v>-6.8923612204172544E-3</v>
      </c>
      <c r="G83">
        <v>1.3273809568408179E-2</v>
      </c>
      <c r="H83">
        <v>-1.6563299385421889E-2</v>
      </c>
      <c r="I83">
        <v>2.4928176579113611E-2</v>
      </c>
      <c r="J83">
        <v>-1.5765139605846471E-2</v>
      </c>
      <c r="K83">
        <v>-3.0732283195414212E-2</v>
      </c>
      <c r="L83">
        <v>-2.9298993927895811E-2</v>
      </c>
      <c r="M83">
        <v>1.9544406235879389E-2</v>
      </c>
    </row>
    <row r="84" spans="1:13" x14ac:dyDescent="0.35">
      <c r="A84" s="1">
        <v>40543</v>
      </c>
      <c r="B84">
        <v>6.4693388351255265E-2</v>
      </c>
      <c r="C84">
        <v>-3.5093291943075762E-2</v>
      </c>
      <c r="D84">
        <v>9.5653762129311648E-2</v>
      </c>
      <c r="E84">
        <v>8.9095441172575729E-2</v>
      </c>
      <c r="F84">
        <v>0.1016921439081515</v>
      </c>
      <c r="G84">
        <v>7.2103810132439161E-2</v>
      </c>
      <c r="H84">
        <v>5.406743227558275E-2</v>
      </c>
      <c r="I84">
        <v>4.0141729279379312E-2</v>
      </c>
      <c r="J84">
        <v>4.3055461861591482E-2</v>
      </c>
      <c r="K84">
        <v>3.058107106037777E-2</v>
      </c>
      <c r="L84">
        <v>4.5004147126752159E-2</v>
      </c>
      <c r="M84">
        <v>2.505446924437749E-2</v>
      </c>
    </row>
    <row r="85" spans="1:13" x14ac:dyDescent="0.35">
      <c r="A85" s="1">
        <v>40574</v>
      </c>
      <c r="B85">
        <v>2.3424064451926799E-2</v>
      </c>
      <c r="C85">
        <v>3.1450587098547089E-4</v>
      </c>
      <c r="D85">
        <v>7.8067067807152668E-4</v>
      </c>
      <c r="E85">
        <v>6.9334676499555492E-2</v>
      </c>
      <c r="F85">
        <v>2.7822605488037059E-2</v>
      </c>
      <c r="G85">
        <v>3.8536897128002678E-2</v>
      </c>
      <c r="H85">
        <v>3.1264955288379248E-2</v>
      </c>
      <c r="I85">
        <v>-6.1674006700926931E-3</v>
      </c>
      <c r="J85">
        <v>-1.477934651787827E-2</v>
      </c>
      <c r="K85">
        <v>1.2052227825657621E-2</v>
      </c>
      <c r="L85">
        <v>5.6981270262395078E-3</v>
      </c>
      <c r="M85">
        <v>-6.4450349048107647E-2</v>
      </c>
    </row>
    <row r="86" spans="1:13" x14ac:dyDescent="0.35">
      <c r="A86" s="1">
        <v>40602</v>
      </c>
      <c r="B86">
        <v>3.3685214980667233E-2</v>
      </c>
      <c r="C86">
        <v>-2.0603813269710609E-3</v>
      </c>
      <c r="D86">
        <v>2.6188943447323251E-2</v>
      </c>
      <c r="E86">
        <v>7.1095953995437888E-2</v>
      </c>
      <c r="F86">
        <v>2.706978463459464E-2</v>
      </c>
      <c r="G86">
        <v>2.102474673854449E-2</v>
      </c>
      <c r="H86">
        <v>2.1694476191466361E-2</v>
      </c>
      <c r="I86">
        <v>5.8248257759690343E-2</v>
      </c>
      <c r="J86">
        <v>2.8670845642834401E-2</v>
      </c>
      <c r="K86">
        <v>1.2219788663419001E-2</v>
      </c>
      <c r="L86">
        <v>3.077142739809036E-2</v>
      </c>
      <c r="M86">
        <v>5.734056984644198E-2</v>
      </c>
    </row>
    <row r="87" spans="1:13" x14ac:dyDescent="0.35">
      <c r="A87" s="1">
        <v>40633</v>
      </c>
      <c r="B87">
        <v>3.974517994818072E-4</v>
      </c>
      <c r="C87">
        <v>-3.7246616002573058E-4</v>
      </c>
      <c r="D87">
        <v>1.7388902369623871E-2</v>
      </c>
      <c r="E87">
        <v>1.8649331051471481E-2</v>
      </c>
      <c r="F87">
        <v>-2.5066125956531241E-2</v>
      </c>
      <c r="G87">
        <v>2.2058465301967981E-2</v>
      </c>
      <c r="H87">
        <v>-1.563077204042607E-2</v>
      </c>
      <c r="I87">
        <v>-5.8313916133907462E-3</v>
      </c>
      <c r="J87">
        <v>1.2382202891511261E-2</v>
      </c>
      <c r="K87">
        <v>2.310549331466127E-3</v>
      </c>
      <c r="L87">
        <v>1.7924249967253839E-2</v>
      </c>
      <c r="M87">
        <v>1.4679201381709641E-2</v>
      </c>
    </row>
    <row r="88" spans="1:13" x14ac:dyDescent="0.35">
      <c r="A88" s="1">
        <v>40663</v>
      </c>
      <c r="B88">
        <v>2.9184535895957708E-2</v>
      </c>
      <c r="C88">
        <v>1.5722834376278531E-2</v>
      </c>
      <c r="D88">
        <v>2.101723058685678E-2</v>
      </c>
      <c r="E88">
        <v>9.1124858036208956E-3</v>
      </c>
      <c r="F88">
        <v>-6.1015607785774861E-4</v>
      </c>
      <c r="G88">
        <v>2.6975810385041928E-2</v>
      </c>
      <c r="H88">
        <v>2.5758904126814471E-2</v>
      </c>
      <c r="I88">
        <v>3.7693155390932098E-2</v>
      </c>
      <c r="J88">
        <v>5.2095273093585082E-2</v>
      </c>
      <c r="K88">
        <v>3.9679238989365213E-2</v>
      </c>
      <c r="L88">
        <v>6.2346624526798948E-2</v>
      </c>
      <c r="M88">
        <v>8.7843084276626016E-2</v>
      </c>
    </row>
    <row r="89" spans="1:13" x14ac:dyDescent="0.35">
      <c r="A89" s="1">
        <v>40694</v>
      </c>
      <c r="B89">
        <v>-1.138407385808105E-2</v>
      </c>
      <c r="C89">
        <v>2.553922836165157E-2</v>
      </c>
      <c r="D89">
        <v>-2.7786628115783248E-2</v>
      </c>
      <c r="E89">
        <v>-4.2775636974314857E-2</v>
      </c>
      <c r="F89">
        <v>-3.3522539676268608E-2</v>
      </c>
      <c r="G89">
        <v>-2.8037725704724181E-2</v>
      </c>
      <c r="H89">
        <v>-1.0526296563101219E-2</v>
      </c>
      <c r="I89">
        <v>-2.7164862718396239E-3</v>
      </c>
      <c r="J89">
        <v>2.4754411372503341E-2</v>
      </c>
      <c r="K89">
        <v>2.1185057718815958E-2</v>
      </c>
      <c r="L89">
        <v>2.4387825803186661E-2</v>
      </c>
      <c r="M89">
        <v>-1.804896984318205E-2</v>
      </c>
    </row>
    <row r="90" spans="1:13" x14ac:dyDescent="0.35">
      <c r="A90" s="1">
        <v>40724</v>
      </c>
      <c r="B90">
        <v>-1.6809646855305619E-2</v>
      </c>
      <c r="C90">
        <v>-3.9952110672887287E-3</v>
      </c>
      <c r="D90">
        <v>-4.0272470256317314E-3</v>
      </c>
      <c r="E90">
        <v>-1.9408798859702699E-2</v>
      </c>
      <c r="F90">
        <v>-2.7838022321867491E-2</v>
      </c>
      <c r="G90">
        <v>-5.4728539130675102E-3</v>
      </c>
      <c r="H90">
        <v>-2.5146331929627671E-2</v>
      </c>
      <c r="I90">
        <v>-2.1788995361333718E-3</v>
      </c>
      <c r="J90">
        <v>-2.70094148587261E-2</v>
      </c>
      <c r="K90">
        <v>-1.43941537448411E-3</v>
      </c>
      <c r="L90">
        <v>-1.130392119528301E-2</v>
      </c>
      <c r="M90">
        <v>-2.3420737115405821E-2</v>
      </c>
    </row>
    <row r="91" spans="1:13" x14ac:dyDescent="0.35">
      <c r="A91" s="1">
        <v>40755</v>
      </c>
      <c r="B91">
        <v>-2.0542635198865788E-2</v>
      </c>
      <c r="C91">
        <v>2.9729530219892549E-2</v>
      </c>
      <c r="D91">
        <v>-3.5154553633852448E-2</v>
      </c>
      <c r="E91">
        <v>1.4492816025974079E-2</v>
      </c>
      <c r="F91">
        <v>-3.6488146398646837E-2</v>
      </c>
      <c r="G91">
        <v>-7.1220144421531462E-2</v>
      </c>
      <c r="H91">
        <v>4.2703949955442688E-3</v>
      </c>
      <c r="I91">
        <v>-1.402504365488033E-2</v>
      </c>
      <c r="J91">
        <v>-1.289098969974445E-2</v>
      </c>
      <c r="K91">
        <v>-9.3024452010164183E-3</v>
      </c>
      <c r="L91">
        <v>-4.0493926888872427E-2</v>
      </c>
      <c r="M91">
        <v>8.1183458263459407E-2</v>
      </c>
    </row>
    <row r="92" spans="1:13" x14ac:dyDescent="0.35">
      <c r="A92" s="1">
        <v>40786</v>
      </c>
      <c r="B92">
        <v>-5.5855357043149922E-2</v>
      </c>
      <c r="C92">
        <v>4.7571955245374831E-2</v>
      </c>
      <c r="D92">
        <v>-7.2833878852492262E-2</v>
      </c>
      <c r="E92">
        <v>-0.1077612346014902</v>
      </c>
      <c r="F92">
        <v>-0.1008665056934213</v>
      </c>
      <c r="G92">
        <v>-6.8004672267039545E-2</v>
      </c>
      <c r="H92">
        <v>-5.4540605521748553E-2</v>
      </c>
      <c r="I92">
        <v>-5.3885126629268587E-2</v>
      </c>
      <c r="J92">
        <v>1.944324630290595E-3</v>
      </c>
      <c r="K92">
        <v>2.1473879981199762E-2</v>
      </c>
      <c r="L92">
        <v>-2.1327393815786081E-2</v>
      </c>
      <c r="M92">
        <v>0.115112752322494</v>
      </c>
    </row>
    <row r="93" spans="1:13" x14ac:dyDescent="0.35">
      <c r="A93" s="1">
        <v>40816</v>
      </c>
      <c r="B93">
        <v>-7.2889365566015663E-2</v>
      </c>
      <c r="C93">
        <v>1.9034694371364399E-2</v>
      </c>
      <c r="D93">
        <v>-0.18007774682356409</v>
      </c>
      <c r="E93">
        <v>-0.15575903702827179</v>
      </c>
      <c r="F93">
        <v>-0.12093701037685591</v>
      </c>
      <c r="G93">
        <v>-9.7723347287257845E-2</v>
      </c>
      <c r="H93">
        <v>-3.1176760018839289E-2</v>
      </c>
      <c r="I93">
        <v>-7.1444658723578414E-2</v>
      </c>
      <c r="J93">
        <v>-3.351109419932774E-2</v>
      </c>
      <c r="K93">
        <v>2.1590487273348562E-3</v>
      </c>
      <c r="L93">
        <v>-4.591875603281359E-2</v>
      </c>
      <c r="M93">
        <v>-0.1171183884613383</v>
      </c>
    </row>
    <row r="94" spans="1:13" x14ac:dyDescent="0.35">
      <c r="A94" s="1">
        <v>40847</v>
      </c>
      <c r="B94">
        <v>0.1037220274790682</v>
      </c>
      <c r="C94">
        <v>-1.4114792022205339E-2</v>
      </c>
      <c r="D94">
        <v>0.15987574844517211</v>
      </c>
      <c r="E94">
        <v>0.17514606846602729</v>
      </c>
      <c r="F94">
        <v>0.13374318175443631</v>
      </c>
      <c r="G94">
        <v>0.13430106192372329</v>
      </c>
      <c r="H94">
        <v>9.7233846652482026E-2</v>
      </c>
      <c r="I94">
        <v>0.1127342538168175</v>
      </c>
      <c r="J94">
        <v>4.5477359522036132E-2</v>
      </c>
      <c r="K94">
        <v>3.5931734316486892E-2</v>
      </c>
      <c r="L94">
        <v>5.6072790499316127E-2</v>
      </c>
      <c r="M94">
        <v>5.4475215169313529E-2</v>
      </c>
    </row>
    <row r="95" spans="1:13" x14ac:dyDescent="0.35">
      <c r="A95" s="1">
        <v>40877</v>
      </c>
      <c r="B95">
        <v>-2.210845450213661E-3</v>
      </c>
      <c r="C95">
        <v>1.024612088216603E-2</v>
      </c>
      <c r="D95">
        <v>2.0299808878321279E-3</v>
      </c>
      <c r="E95">
        <v>1.650323142498733E-2</v>
      </c>
      <c r="F95">
        <v>-5.2463346636340447E-2</v>
      </c>
      <c r="G95">
        <v>1.3965390143695799E-2</v>
      </c>
      <c r="H95">
        <v>-1.510715634492454E-2</v>
      </c>
      <c r="I95">
        <v>-7.201488939109435E-3</v>
      </c>
      <c r="J95">
        <v>2.732928816421731E-2</v>
      </c>
      <c r="K95">
        <v>1.027721596759212E-2</v>
      </c>
      <c r="L95">
        <v>9.489612935985825E-3</v>
      </c>
      <c r="M95">
        <v>1.8289757315832489E-2</v>
      </c>
    </row>
    <row r="96" spans="1:13" x14ac:dyDescent="0.35">
      <c r="A96" s="1">
        <v>40908</v>
      </c>
      <c r="B96">
        <v>1.017688551196372E-2</v>
      </c>
      <c r="C96">
        <v>1.731709816310012E-2</v>
      </c>
      <c r="D96">
        <v>-2.3057012826500859E-2</v>
      </c>
      <c r="E96">
        <v>-2.0634277398979609E-2</v>
      </c>
      <c r="F96">
        <v>2.1107667046303291E-2</v>
      </c>
      <c r="G96">
        <v>2.538776774410056E-3</v>
      </c>
      <c r="H96">
        <v>-2.2916652837645661E-3</v>
      </c>
      <c r="I96">
        <v>1.298944526769219E-2</v>
      </c>
      <c r="J96">
        <v>2.7326294238296359E-2</v>
      </c>
      <c r="K96">
        <v>3.2770850388397221E-2</v>
      </c>
      <c r="L96">
        <v>2.9218926718630911E-2</v>
      </c>
      <c r="M96">
        <v>-0.10969958116725299</v>
      </c>
    </row>
    <row r="97" spans="1:13" x14ac:dyDescent="0.35">
      <c r="A97" s="1">
        <v>40939</v>
      </c>
      <c r="B97">
        <v>4.3838553507882239E-2</v>
      </c>
      <c r="C97">
        <v>9.2584134205084823E-3</v>
      </c>
      <c r="D97">
        <v>0.10422529695543491</v>
      </c>
      <c r="E97">
        <v>2.2315235997589781E-2</v>
      </c>
      <c r="F97">
        <v>7.8385182026488476E-2</v>
      </c>
      <c r="G97">
        <v>7.0631701864693586E-2</v>
      </c>
      <c r="H97">
        <v>6.0231522105464563E-2</v>
      </c>
      <c r="I97">
        <v>5.7272232186773582E-2</v>
      </c>
      <c r="J97">
        <v>-1.4259551511088819E-2</v>
      </c>
      <c r="K97">
        <v>-3.6799807772287092E-2</v>
      </c>
      <c r="L97">
        <v>3.1496558749276371E-2</v>
      </c>
      <c r="M97">
        <v>0.10476861319834101</v>
      </c>
    </row>
    <row r="98" spans="1:13" x14ac:dyDescent="0.35">
      <c r="A98" s="1">
        <v>40968</v>
      </c>
      <c r="B98">
        <v>4.2332957354279437E-2</v>
      </c>
      <c r="C98">
        <v>-9.6295489758428943E-3</v>
      </c>
      <c r="D98">
        <v>-5.6638608798111889E-3</v>
      </c>
      <c r="E98">
        <v>5.7582708893516348E-2</v>
      </c>
      <c r="F98">
        <v>4.8586788137461763E-2</v>
      </c>
      <c r="G98">
        <v>2.750315852530516E-2</v>
      </c>
      <c r="H98">
        <v>6.8622986160276511E-2</v>
      </c>
      <c r="I98">
        <v>4.4262439715755157E-2</v>
      </c>
      <c r="J98">
        <v>3.6780055531976608E-2</v>
      </c>
      <c r="K98">
        <v>6.0372331743199226E-3</v>
      </c>
      <c r="L98">
        <v>1.0558614181504391E-2</v>
      </c>
      <c r="M98">
        <v>-2.3876377345069422E-2</v>
      </c>
    </row>
    <row r="99" spans="1:13" x14ac:dyDescent="0.35">
      <c r="A99" s="1">
        <v>40999</v>
      </c>
      <c r="B99">
        <v>3.2378063147109337E-2</v>
      </c>
      <c r="C99">
        <v>-1.606540402517442E-2</v>
      </c>
      <c r="D99">
        <v>3.800819224955454E-3</v>
      </c>
      <c r="E99">
        <v>-3.8843800129854777E-2</v>
      </c>
      <c r="F99">
        <v>7.1276316875513945E-2</v>
      </c>
      <c r="G99">
        <v>9.7418983616255339E-3</v>
      </c>
      <c r="H99">
        <v>4.4152531710140767E-2</v>
      </c>
      <c r="I99">
        <v>4.6126038969217742E-2</v>
      </c>
      <c r="J99">
        <v>3.0537888492819128E-2</v>
      </c>
      <c r="K99">
        <v>1.3497990673372319E-2</v>
      </c>
      <c r="L99">
        <v>4.3797830247111591E-2</v>
      </c>
      <c r="M99">
        <v>-1.700532225369589E-2</v>
      </c>
    </row>
    <row r="100" spans="1:13" x14ac:dyDescent="0.35">
      <c r="A100" s="1">
        <v>41029</v>
      </c>
      <c r="B100">
        <v>-6.2937546892802843E-3</v>
      </c>
      <c r="C100">
        <v>2.5008442897068051E-2</v>
      </c>
      <c r="D100">
        <v>-8.1481869616846225E-3</v>
      </c>
      <c r="E100">
        <v>-7.1334000421652277E-3</v>
      </c>
      <c r="F100">
        <v>-2.3695764045434942E-2</v>
      </c>
      <c r="G100">
        <v>-1.101699610154983E-2</v>
      </c>
      <c r="H100">
        <v>-1.133743354538197E-2</v>
      </c>
      <c r="I100">
        <v>1.1466808636346301E-2</v>
      </c>
      <c r="J100">
        <v>2.929974345301289E-3</v>
      </c>
      <c r="K100">
        <v>1.7539363168510121E-2</v>
      </c>
      <c r="L100">
        <v>-2.662769702754364E-3</v>
      </c>
      <c r="M100">
        <v>-2.0402659422291691E-3</v>
      </c>
    </row>
    <row r="101" spans="1:13" x14ac:dyDescent="0.35">
      <c r="A101" s="1">
        <v>41060</v>
      </c>
      <c r="B101">
        <v>-6.1983195094821752E-2</v>
      </c>
      <c r="C101">
        <v>2.7314121685577671E-2</v>
      </c>
      <c r="D101">
        <v>-8.0906503012805331E-2</v>
      </c>
      <c r="E101">
        <v>-0.11296936385296739</v>
      </c>
      <c r="F101">
        <v>-9.6542892777297329E-2</v>
      </c>
      <c r="G101">
        <v>-6.5313399591692356E-2</v>
      </c>
      <c r="H101">
        <v>-6.5478139570186666E-2</v>
      </c>
      <c r="I101">
        <v>-5.6604539648794638E-2</v>
      </c>
      <c r="J101">
        <v>-1.177176073461661E-2</v>
      </c>
      <c r="K101">
        <v>5.5930663143337611E-3</v>
      </c>
      <c r="L101">
        <v>-3.6930085852997951E-2</v>
      </c>
      <c r="M101">
        <v>-6.466227109793099E-2</v>
      </c>
    </row>
    <row r="102" spans="1:13" x14ac:dyDescent="0.35">
      <c r="A102" s="1">
        <v>41090</v>
      </c>
      <c r="B102">
        <v>4.0376322048270019E-2</v>
      </c>
      <c r="C102">
        <v>-4.0893983882828167E-3</v>
      </c>
      <c r="D102">
        <v>4.7952247432276877E-2</v>
      </c>
      <c r="E102">
        <v>4.6978476150144388E-2</v>
      </c>
      <c r="F102">
        <v>4.8782918473500907E-2</v>
      </c>
      <c r="G102">
        <v>3.3156495916165429E-2</v>
      </c>
      <c r="H102">
        <v>3.2116322769277339E-2</v>
      </c>
      <c r="I102">
        <v>1.9182935735175821E-2</v>
      </c>
      <c r="J102">
        <v>3.5747995479550543E-2</v>
      </c>
      <c r="K102">
        <v>4.0288755165181822E-2</v>
      </c>
      <c r="L102">
        <v>5.5547400637106392E-2</v>
      </c>
      <c r="M102">
        <v>2.339591696452992E-2</v>
      </c>
    </row>
    <row r="103" spans="1:13" x14ac:dyDescent="0.35">
      <c r="A103" s="1">
        <v>41121</v>
      </c>
      <c r="B103">
        <v>1.379318064801183E-2</v>
      </c>
      <c r="C103">
        <v>1.3519509007096531E-2</v>
      </c>
      <c r="D103">
        <v>-1.283313903929395E-2</v>
      </c>
      <c r="E103">
        <v>4.8237411446400813E-2</v>
      </c>
      <c r="F103">
        <v>1.3656247840549971E-3</v>
      </c>
      <c r="G103">
        <v>3.9170354075688252E-3</v>
      </c>
      <c r="H103">
        <v>1.8279553619539261E-2</v>
      </c>
      <c r="I103">
        <v>-5.4967831900851749E-3</v>
      </c>
      <c r="J103">
        <v>2.443314839954169E-2</v>
      </c>
      <c r="K103">
        <v>2.4830681013944481E-2</v>
      </c>
      <c r="L103">
        <v>9.9476307607178072E-3</v>
      </c>
      <c r="M103">
        <v>1.066625305795643E-2</v>
      </c>
    </row>
    <row r="104" spans="1:13" x14ac:dyDescent="0.35">
      <c r="A104" s="1">
        <v>41152</v>
      </c>
      <c r="B104">
        <v>2.2273472099060498E-2</v>
      </c>
      <c r="C104">
        <v>-1.0644464110161069E-3</v>
      </c>
      <c r="D104">
        <v>2.2982788742012868E-2</v>
      </c>
      <c r="E104">
        <v>2.663435245999057E-2</v>
      </c>
      <c r="F104">
        <v>3.3537649984009647E-2</v>
      </c>
      <c r="G104">
        <v>1.5242031460411811E-2</v>
      </c>
      <c r="H104">
        <v>4.1177653471211162E-2</v>
      </c>
      <c r="I104">
        <v>4.5130350277469138E-2</v>
      </c>
      <c r="J104">
        <v>-4.7826117973586157E-3</v>
      </c>
      <c r="K104">
        <v>-4.2284024564072993E-2</v>
      </c>
      <c r="L104">
        <v>1.165384819603377E-2</v>
      </c>
      <c r="M104">
        <v>4.674774383874869E-2</v>
      </c>
    </row>
    <row r="105" spans="1:13" x14ac:dyDescent="0.35">
      <c r="A105" s="1">
        <v>41182</v>
      </c>
      <c r="B105">
        <v>2.5514306131833919E-2</v>
      </c>
      <c r="C105">
        <v>-2.2508924218387349E-3</v>
      </c>
      <c r="D105">
        <v>3.6972225394135798E-2</v>
      </c>
      <c r="E105">
        <v>3.06830529118165E-2</v>
      </c>
      <c r="F105">
        <v>3.2115945670689872E-2</v>
      </c>
      <c r="G105">
        <v>1.111622010021973E-2</v>
      </c>
      <c r="H105">
        <v>1.521171782060904E-2</v>
      </c>
      <c r="I105">
        <v>3.0342717768116589E-2</v>
      </c>
      <c r="J105">
        <v>1.7414312121599721E-2</v>
      </c>
      <c r="K105">
        <v>1.1624750431644241E-2</v>
      </c>
      <c r="L105">
        <v>3.7382111333166268E-2</v>
      </c>
      <c r="M105">
        <v>4.6427320981091043E-2</v>
      </c>
    </row>
    <row r="106" spans="1:13" x14ac:dyDescent="0.35">
      <c r="A106" s="1">
        <v>41213</v>
      </c>
      <c r="B106">
        <v>-1.8637689555101922E-2</v>
      </c>
      <c r="C106">
        <v>-3.1835811260423341E-3</v>
      </c>
      <c r="D106">
        <v>-2.1145526667602169E-2</v>
      </c>
      <c r="E106">
        <v>-2.050030641345435E-2</v>
      </c>
      <c r="F106">
        <v>1.9689594130207769E-2</v>
      </c>
      <c r="G106">
        <v>-1.0954669743195029E-3</v>
      </c>
      <c r="H106">
        <v>-6.5685556445928661E-2</v>
      </c>
      <c r="I106">
        <v>-1.550750546627944E-2</v>
      </c>
      <c r="J106">
        <v>-1.2356659872313269E-2</v>
      </c>
      <c r="K106">
        <v>1.3917626660876261E-2</v>
      </c>
      <c r="L106">
        <v>-2.2461293072315591E-3</v>
      </c>
      <c r="M106">
        <v>-2.954779933974017E-2</v>
      </c>
    </row>
    <row r="107" spans="1:13" x14ac:dyDescent="0.35">
      <c r="A107" s="1">
        <v>41243</v>
      </c>
      <c r="B107">
        <v>5.782640577182363E-3</v>
      </c>
      <c r="C107">
        <v>1.001535523026398E-2</v>
      </c>
      <c r="D107">
        <v>1.842477082820038E-2</v>
      </c>
      <c r="E107">
        <v>-1.2307596331814E-2</v>
      </c>
      <c r="F107">
        <v>-8.8443250062972822E-3</v>
      </c>
      <c r="G107">
        <v>1.7386982226154309E-2</v>
      </c>
      <c r="H107">
        <v>8.9655481469357312E-3</v>
      </c>
      <c r="I107">
        <v>3.1199029077816579E-2</v>
      </c>
      <c r="J107">
        <v>1.8200568031661039E-2</v>
      </c>
      <c r="K107">
        <v>-4.3762228548285258E-2</v>
      </c>
      <c r="L107">
        <v>5.2322743164814334E-3</v>
      </c>
      <c r="M107">
        <v>-3.3007076709257181E-3</v>
      </c>
    </row>
    <row r="108" spans="1:13" x14ac:dyDescent="0.35">
      <c r="A108" s="1">
        <v>41274</v>
      </c>
      <c r="B108">
        <v>9.0729437179373207E-3</v>
      </c>
      <c r="C108">
        <v>-8.0897403999689033E-3</v>
      </c>
      <c r="D108">
        <v>3.143144039586554E-2</v>
      </c>
      <c r="E108">
        <v>1.0135653504585561E-2</v>
      </c>
      <c r="F108">
        <v>4.5443470938654862E-2</v>
      </c>
      <c r="G108">
        <v>2.7834935391489509E-2</v>
      </c>
      <c r="H108">
        <v>-3.92177484225531E-3</v>
      </c>
      <c r="I108">
        <v>4.499036307772819E-3</v>
      </c>
      <c r="J108">
        <v>-2.0985307388944111E-2</v>
      </c>
      <c r="K108">
        <v>-1.662248788245613E-4</v>
      </c>
      <c r="L108">
        <v>-3.6003088766438651E-3</v>
      </c>
      <c r="M108">
        <v>-2.3379320069516041E-2</v>
      </c>
    </row>
    <row r="109" spans="1:13" x14ac:dyDescent="0.35">
      <c r="A109" s="1">
        <v>41305</v>
      </c>
      <c r="B109">
        <v>5.0499178970946801E-2</v>
      </c>
      <c r="C109">
        <v>-1.538915337103486E-2</v>
      </c>
      <c r="D109">
        <v>3.866783214253422E-2</v>
      </c>
      <c r="E109">
        <v>7.9762808024064213E-2</v>
      </c>
      <c r="F109">
        <v>5.8648849103197787E-2</v>
      </c>
      <c r="G109">
        <v>5.5926475927887243E-2</v>
      </c>
      <c r="H109">
        <v>1.888460002798498E-2</v>
      </c>
      <c r="I109">
        <v>5.5154063075931958E-2</v>
      </c>
      <c r="J109">
        <v>5.4911636706103113E-2</v>
      </c>
      <c r="K109">
        <v>4.6441615904439182E-2</v>
      </c>
      <c r="L109">
        <v>7.3229770586094478E-2</v>
      </c>
      <c r="M109">
        <v>-6.9780609892475809E-3</v>
      </c>
    </row>
    <row r="110" spans="1:13" x14ac:dyDescent="0.35">
      <c r="A110" s="1">
        <v>41333</v>
      </c>
      <c r="B110">
        <v>1.3484167929337151E-2</v>
      </c>
      <c r="C110">
        <v>1.1057257226717351E-2</v>
      </c>
      <c r="D110">
        <v>-1.3676598835006709E-2</v>
      </c>
      <c r="E110">
        <v>4.3862000304195634E-3</v>
      </c>
      <c r="F110">
        <v>1.2010434650409071E-2</v>
      </c>
      <c r="G110">
        <v>2.1962265119667371E-2</v>
      </c>
      <c r="H110">
        <v>7.7930491665854076E-3</v>
      </c>
      <c r="I110">
        <v>1.5832558691713409E-2</v>
      </c>
      <c r="J110">
        <v>3.2553756521877641E-2</v>
      </c>
      <c r="K110">
        <v>2.297122981229105E-2</v>
      </c>
      <c r="L110">
        <v>1.2506126658303531E-2</v>
      </c>
      <c r="M110">
        <v>-5.1866056556605138E-2</v>
      </c>
    </row>
    <row r="111" spans="1:13" x14ac:dyDescent="0.35">
      <c r="A111" s="1">
        <v>41364</v>
      </c>
      <c r="B111">
        <v>3.6816908049739361E-2</v>
      </c>
      <c r="C111">
        <v>4.3556460107252448E-3</v>
      </c>
      <c r="D111">
        <v>2.1878796702074599E-2</v>
      </c>
      <c r="E111">
        <v>2.510884273206759E-2</v>
      </c>
      <c r="F111">
        <v>3.8006425308305232E-2</v>
      </c>
      <c r="G111">
        <v>2.342875716420734E-2</v>
      </c>
      <c r="H111">
        <v>2.5450094091584941E-2</v>
      </c>
      <c r="I111">
        <v>4.2827908788198421E-2</v>
      </c>
      <c r="J111">
        <v>4.808927401345775E-2</v>
      </c>
      <c r="K111">
        <v>5.2297319425097737E-2</v>
      </c>
      <c r="L111">
        <v>6.0261266006611518E-2</v>
      </c>
      <c r="M111">
        <v>1.1261926142597471E-2</v>
      </c>
    </row>
    <row r="112" spans="1:13" x14ac:dyDescent="0.35">
      <c r="A112" s="1">
        <v>41394</v>
      </c>
      <c r="B112">
        <v>1.9083500225512751E-2</v>
      </c>
      <c r="C112">
        <v>1.4196007967692379E-2</v>
      </c>
      <c r="D112">
        <v>9.3993494147288636E-3</v>
      </c>
      <c r="E112">
        <v>-1.319965054903038E-2</v>
      </c>
      <c r="F112">
        <v>2.6552523481229159E-2</v>
      </c>
      <c r="G112">
        <v>-7.4507646704051744E-3</v>
      </c>
      <c r="H112">
        <v>1.735736656400411E-2</v>
      </c>
      <c r="I112">
        <v>2.9924857410987379E-2</v>
      </c>
      <c r="J112">
        <v>2.899472461749086E-2</v>
      </c>
      <c r="K112">
        <v>5.7882796643877743E-2</v>
      </c>
      <c r="L112">
        <v>2.9590678264724609E-2</v>
      </c>
      <c r="M112">
        <v>-7.862326693872479E-2</v>
      </c>
    </row>
    <row r="113" spans="1:13" x14ac:dyDescent="0.35">
      <c r="A113" s="1">
        <v>41425</v>
      </c>
      <c r="B113">
        <v>2.312073150491312E-2</v>
      </c>
      <c r="C113">
        <v>-3.2386388868903097E-2</v>
      </c>
      <c r="D113">
        <v>1.878520179553567E-2</v>
      </c>
      <c r="E113">
        <v>2.8092610007641738E-2</v>
      </c>
      <c r="F113">
        <v>5.9176523766711231E-2</v>
      </c>
      <c r="G113">
        <v>4.8962334041114719E-2</v>
      </c>
      <c r="H113">
        <v>2.753917694952035E-2</v>
      </c>
      <c r="I113">
        <v>2.7275352812495161E-2</v>
      </c>
      <c r="J113">
        <v>-2.1978830744210139E-2</v>
      </c>
      <c r="K113">
        <v>-9.4875578160941387E-2</v>
      </c>
      <c r="L113">
        <v>1.6345751010622859E-2</v>
      </c>
      <c r="M113">
        <v>-6.2096880847516189E-2</v>
      </c>
    </row>
    <row r="114" spans="1:13" x14ac:dyDescent="0.35">
      <c r="A114" s="1">
        <v>41455</v>
      </c>
      <c r="B114">
        <v>-1.351910434945758E-2</v>
      </c>
      <c r="C114">
        <v>-2.4458040254564221E-2</v>
      </c>
      <c r="D114">
        <v>-4.1969400009668423E-2</v>
      </c>
      <c r="E114">
        <v>-2.292838842695577E-2</v>
      </c>
      <c r="F114">
        <v>-1.5830264749564279E-2</v>
      </c>
      <c r="G114">
        <v>-1.5561075306841589E-2</v>
      </c>
      <c r="H114">
        <v>-2.9343525830944021E-2</v>
      </c>
      <c r="I114">
        <v>8.1759306856108438E-3</v>
      </c>
      <c r="J114">
        <v>-3.0278086518746861E-3</v>
      </c>
      <c r="K114">
        <v>8.9056497978865501E-3</v>
      </c>
      <c r="L114">
        <v>-5.930213431819098E-3</v>
      </c>
      <c r="M114">
        <v>-0.1170294286389133</v>
      </c>
    </row>
    <row r="115" spans="1:13" x14ac:dyDescent="0.35">
      <c r="A115" s="1">
        <v>41486</v>
      </c>
      <c r="B115">
        <v>4.9634077978018887E-2</v>
      </c>
      <c r="C115">
        <v>-4.1226930366207171E-3</v>
      </c>
      <c r="D115">
        <v>5.4053667184623677E-2</v>
      </c>
      <c r="E115">
        <v>5.1280611333781589E-2</v>
      </c>
      <c r="F115">
        <v>5.208960776639282E-2</v>
      </c>
      <c r="G115">
        <v>5.7419400971769452E-2</v>
      </c>
      <c r="H115">
        <v>3.6589109596850911E-2</v>
      </c>
      <c r="I115">
        <v>5.1319482318004088E-2</v>
      </c>
      <c r="J115">
        <v>4.2444254479900863E-2</v>
      </c>
      <c r="K115">
        <v>4.240429168306159E-2</v>
      </c>
      <c r="L115">
        <v>6.9174790323196955E-2</v>
      </c>
      <c r="M115">
        <v>7.0774957387000903E-2</v>
      </c>
    </row>
    <row r="116" spans="1:13" x14ac:dyDescent="0.35">
      <c r="A116" s="1">
        <v>41517</v>
      </c>
      <c r="B116">
        <v>-2.938897800351814E-2</v>
      </c>
      <c r="C116">
        <v>-1.1161556350918639E-2</v>
      </c>
      <c r="D116">
        <v>-1.2359869092177791E-3</v>
      </c>
      <c r="E116">
        <v>-1.036639368297587E-2</v>
      </c>
      <c r="F116">
        <v>-5.2604035471576882E-2</v>
      </c>
      <c r="G116">
        <v>-2.5113193440131191E-2</v>
      </c>
      <c r="H116">
        <v>-1.045452548498815E-2</v>
      </c>
      <c r="I116">
        <v>-2.88783430091577E-2</v>
      </c>
      <c r="J116">
        <v>-4.6485741791818302E-2</v>
      </c>
      <c r="K116">
        <v>-5.1212856743084963E-2</v>
      </c>
      <c r="L116">
        <v>-3.5917554746383473E-2</v>
      </c>
      <c r="M116">
        <v>5.1622656700954117E-2</v>
      </c>
    </row>
    <row r="117" spans="1:13" x14ac:dyDescent="0.35">
      <c r="A117" s="1">
        <v>41547</v>
      </c>
      <c r="B117">
        <v>3.087664852260286E-2</v>
      </c>
      <c r="C117">
        <v>1.5234679407109651E-2</v>
      </c>
      <c r="D117">
        <v>4.3331371281242433E-2</v>
      </c>
      <c r="E117">
        <v>2.0921557881220739E-2</v>
      </c>
      <c r="F117">
        <v>2.7825185741657151E-2</v>
      </c>
      <c r="G117">
        <v>5.7012247125374671E-2</v>
      </c>
      <c r="H117">
        <v>2.5006119862123199E-2</v>
      </c>
      <c r="I117">
        <v>5.281013752507091E-2</v>
      </c>
      <c r="J117">
        <v>1.361741821194196E-2</v>
      </c>
      <c r="K117">
        <v>1.14082792506105E-2</v>
      </c>
      <c r="L117">
        <v>3.157032589683384E-2</v>
      </c>
      <c r="M117">
        <v>-4.8638592092588688E-2</v>
      </c>
    </row>
    <row r="118" spans="1:13" x14ac:dyDescent="0.35">
      <c r="A118" s="1">
        <v>41578</v>
      </c>
      <c r="B118">
        <v>4.4942098512485977E-2</v>
      </c>
      <c r="C118">
        <v>8.7604049591218924E-3</v>
      </c>
      <c r="D118">
        <v>4.1041444736621191E-2</v>
      </c>
      <c r="E118">
        <v>4.1116378834613172E-2</v>
      </c>
      <c r="F118">
        <v>3.261168700319228E-2</v>
      </c>
      <c r="G118">
        <v>4.6519870520372653E-2</v>
      </c>
      <c r="H118">
        <v>4.9027979801507193E-2</v>
      </c>
      <c r="I118">
        <v>4.4831448263643818E-2</v>
      </c>
      <c r="J118">
        <v>6.2101668361028477E-2</v>
      </c>
      <c r="K118">
        <v>3.7036326608088199E-2</v>
      </c>
      <c r="L118">
        <v>4.2189023224225242E-2</v>
      </c>
      <c r="M118">
        <v>-4.5021172613699534E-3</v>
      </c>
    </row>
    <row r="119" spans="1:13" x14ac:dyDescent="0.35">
      <c r="A119" s="1">
        <v>41608</v>
      </c>
      <c r="B119">
        <v>3.0018805664681739E-2</v>
      </c>
      <c r="C119">
        <v>-8.9835002837208577E-3</v>
      </c>
      <c r="D119">
        <v>1.2938756457548269E-2</v>
      </c>
      <c r="E119">
        <v>5.7842203184943486E-4</v>
      </c>
      <c r="F119">
        <v>4.3288730051862068E-2</v>
      </c>
      <c r="G119">
        <v>3.5956391639456957E-2</v>
      </c>
      <c r="H119">
        <v>3.0437964021582161E-2</v>
      </c>
      <c r="I119">
        <v>3.3954205162731732E-2</v>
      </c>
      <c r="J119">
        <v>1.54645822929429E-2</v>
      </c>
      <c r="K119">
        <v>-1.952952521468632E-2</v>
      </c>
      <c r="L119">
        <v>4.6106367532471097E-2</v>
      </c>
      <c r="M119">
        <v>-9.6259945156656812E-2</v>
      </c>
    </row>
    <row r="120" spans="1:13" x14ac:dyDescent="0.35">
      <c r="A120" s="1">
        <v>41639</v>
      </c>
      <c r="B120">
        <v>2.5002444933358351E-2</v>
      </c>
      <c r="C120">
        <v>-1.942537739388861E-2</v>
      </c>
      <c r="D120">
        <v>4.7801698231570988E-2</v>
      </c>
      <c r="E120">
        <v>2.8312258976964429E-2</v>
      </c>
      <c r="F120">
        <v>2.2227436484532511E-2</v>
      </c>
      <c r="G120">
        <v>4.1320251879410907E-2</v>
      </c>
      <c r="H120">
        <v>3.4736740741629468E-2</v>
      </c>
      <c r="I120">
        <v>2.2575603677895462E-2</v>
      </c>
      <c r="J120">
        <v>6.8748793002826316E-3</v>
      </c>
      <c r="K120">
        <v>9.0693532416596945E-3</v>
      </c>
      <c r="L120">
        <v>7.3619641775444222E-3</v>
      </c>
      <c r="M120">
        <v>0</v>
      </c>
    </row>
    <row r="121" spans="1:13" x14ac:dyDescent="0.35">
      <c r="A121" s="1">
        <v>41670</v>
      </c>
      <c r="B121">
        <v>-3.5187987700858507E-2</v>
      </c>
      <c r="C121">
        <v>2.6515240468651061E-2</v>
      </c>
      <c r="D121">
        <v>-4.8314346499357168E-2</v>
      </c>
      <c r="E121">
        <v>-5.9707046070985648E-2</v>
      </c>
      <c r="F121">
        <v>-3.7282839090932551E-2</v>
      </c>
      <c r="G121">
        <v>-4.3608592934262003E-2</v>
      </c>
      <c r="H121">
        <v>-2.60787322502436E-2</v>
      </c>
      <c r="I121">
        <v>-6.1878696348307997E-2</v>
      </c>
      <c r="J121">
        <v>-5.3033751479210078E-2</v>
      </c>
      <c r="K121">
        <v>2.9325937367011608E-2</v>
      </c>
      <c r="L121">
        <v>9.3354187105929576E-3</v>
      </c>
      <c r="M121">
        <v>3.5086728374529308E-2</v>
      </c>
    </row>
    <row r="122" spans="1:13" x14ac:dyDescent="0.35">
      <c r="A122" s="1">
        <v>41698</v>
      </c>
      <c r="B122">
        <v>4.4730289791669257E-2</v>
      </c>
      <c r="C122">
        <v>5.2050203444462539E-3</v>
      </c>
      <c r="D122">
        <v>6.6750017189296518E-2</v>
      </c>
      <c r="E122">
        <v>4.9943151153659222E-2</v>
      </c>
      <c r="F122">
        <v>2.9936738554538159E-2</v>
      </c>
      <c r="G122">
        <v>3.9774361713958761E-2</v>
      </c>
      <c r="H122">
        <v>4.3002407473258231E-2</v>
      </c>
      <c r="I122">
        <v>6.2028066086905483E-2</v>
      </c>
      <c r="J122">
        <v>3.8267485635742123E-2</v>
      </c>
      <c r="K122">
        <v>3.3944360355439678E-2</v>
      </c>
      <c r="L122">
        <v>6.0330715757678448E-2</v>
      </c>
      <c r="M122">
        <v>6.3686947370346303E-2</v>
      </c>
    </row>
    <row r="123" spans="1:13" x14ac:dyDescent="0.35">
      <c r="A123" s="1">
        <v>41729</v>
      </c>
      <c r="B123">
        <v>8.3685116281255745E-3</v>
      </c>
      <c r="C123">
        <v>-5.6235797675281418E-3</v>
      </c>
      <c r="D123">
        <v>8.2253536040464148E-3</v>
      </c>
      <c r="E123">
        <v>2.0864751888031829E-2</v>
      </c>
      <c r="F123">
        <v>3.2765118444530117E-2</v>
      </c>
      <c r="G123">
        <v>9.5201083231817307E-3</v>
      </c>
      <c r="H123">
        <v>4.2930090625694639E-3</v>
      </c>
      <c r="I123">
        <v>-2.908972324886205E-2</v>
      </c>
      <c r="J123">
        <v>2.169250387735833E-2</v>
      </c>
      <c r="K123">
        <v>3.2960497936356248E-2</v>
      </c>
      <c r="L123">
        <v>-1.2657763848954669E-2</v>
      </c>
      <c r="M123">
        <v>-3.2472972767178199E-2</v>
      </c>
    </row>
    <row r="124" spans="1:13" x14ac:dyDescent="0.35">
      <c r="A124" s="1">
        <v>41759</v>
      </c>
      <c r="B124">
        <v>7.3642781883709318E-3</v>
      </c>
      <c r="C124">
        <v>8.1915403848462631E-3</v>
      </c>
      <c r="D124">
        <v>8.21499022944705E-3</v>
      </c>
      <c r="E124">
        <v>5.1214697052325509E-2</v>
      </c>
      <c r="F124">
        <v>-1.715581316532333E-2</v>
      </c>
      <c r="G124">
        <v>1.328816789324661E-2</v>
      </c>
      <c r="H124">
        <v>2.7472277375197858E-3</v>
      </c>
      <c r="I124">
        <v>-1.369028487364554E-2</v>
      </c>
      <c r="J124">
        <v>2.7035157137017322E-2</v>
      </c>
      <c r="K124">
        <v>4.1342859817583573E-2</v>
      </c>
      <c r="L124">
        <v>-6.3465713905030974E-3</v>
      </c>
      <c r="M124">
        <v>5.8937665025480257E-3</v>
      </c>
    </row>
    <row r="125" spans="1:13" x14ac:dyDescent="0.35">
      <c r="A125" s="1">
        <v>41790</v>
      </c>
      <c r="B125">
        <v>2.3204929770685109E-2</v>
      </c>
      <c r="C125">
        <v>1.880068442084859E-2</v>
      </c>
      <c r="D125">
        <v>2.9149381572098228E-2</v>
      </c>
      <c r="E125">
        <v>1.66097009688615E-2</v>
      </c>
      <c r="F125">
        <v>1.491516034637197E-2</v>
      </c>
      <c r="G125">
        <v>1.905153548609384E-2</v>
      </c>
      <c r="H125">
        <v>3.6896398612229042E-2</v>
      </c>
      <c r="I125">
        <v>2.8414621679996092E-2</v>
      </c>
      <c r="J125">
        <v>1.79211601119964E-2</v>
      </c>
      <c r="K125">
        <v>-1.0936911323572661E-2</v>
      </c>
      <c r="L125">
        <v>2.83288834718789E-2</v>
      </c>
      <c r="M125">
        <v>-3.2994241361366861E-2</v>
      </c>
    </row>
    <row r="126" spans="1:13" x14ac:dyDescent="0.35">
      <c r="A126" s="1">
        <v>41820</v>
      </c>
      <c r="B126">
        <v>2.0445845405678401E-2</v>
      </c>
      <c r="C126">
        <v>-2.399924354347327E-3</v>
      </c>
      <c r="D126">
        <v>1.6016053903569191E-2</v>
      </c>
      <c r="E126">
        <v>5.3666999249688541E-2</v>
      </c>
      <c r="F126">
        <v>2.3937665629724329E-2</v>
      </c>
      <c r="G126">
        <v>4.7375265163753788E-3</v>
      </c>
      <c r="H126">
        <v>1.8516567658053429E-2</v>
      </c>
      <c r="I126">
        <v>1.920108222062256E-2</v>
      </c>
      <c r="J126">
        <v>-2.5350957429703951E-3</v>
      </c>
      <c r="K126">
        <v>4.3460836916619172E-2</v>
      </c>
      <c r="L126">
        <v>2.0993476893965909E-2</v>
      </c>
      <c r="M126">
        <v>6.0281887129271183E-2</v>
      </c>
    </row>
    <row r="127" spans="1:13" x14ac:dyDescent="0.35">
      <c r="A127" s="1">
        <v>41851</v>
      </c>
      <c r="B127">
        <v>-1.3887515035134969E-2</v>
      </c>
      <c r="C127">
        <v>-2.887532686328242E-3</v>
      </c>
      <c r="D127">
        <v>-2.014503906526555E-2</v>
      </c>
      <c r="E127">
        <v>-3.5280388148338997E-2</v>
      </c>
      <c r="F127">
        <v>-1.461832440713051E-2</v>
      </c>
      <c r="G127">
        <v>-4.2125358923481571E-2</v>
      </c>
      <c r="H127">
        <v>1.6807057205956429E-2</v>
      </c>
      <c r="I127">
        <v>-1.281832763526891E-2</v>
      </c>
      <c r="J127">
        <v>-3.373212530365377E-2</v>
      </c>
      <c r="K127">
        <v>-7.0430060165501462E-2</v>
      </c>
      <c r="L127">
        <v>1.3140960060278319E-3</v>
      </c>
      <c r="M127">
        <v>-3.4287934630684802E-2</v>
      </c>
    </row>
    <row r="128" spans="1:13" x14ac:dyDescent="0.35">
      <c r="A128" s="1">
        <v>41882</v>
      </c>
      <c r="B128">
        <v>3.9224154807978813E-2</v>
      </c>
      <c r="C128">
        <v>1.833774703570068E-2</v>
      </c>
      <c r="D128">
        <v>3.7915333873806301E-2</v>
      </c>
      <c r="E128">
        <v>2.160114559635451E-2</v>
      </c>
      <c r="F128">
        <v>4.1517815136875143E-2</v>
      </c>
      <c r="G128">
        <v>4.1385243197561213E-2</v>
      </c>
      <c r="H128">
        <v>3.2293461553242857E-2</v>
      </c>
      <c r="I128">
        <v>4.3508226092320523E-2</v>
      </c>
      <c r="J128">
        <v>4.509723493581852E-2</v>
      </c>
      <c r="K128">
        <v>4.8039653065131922E-2</v>
      </c>
      <c r="L128">
        <v>4.7295805601389677E-2</v>
      </c>
      <c r="M128">
        <v>3.6810669175633142E-3</v>
      </c>
    </row>
    <row r="129" spans="1:13" x14ac:dyDescent="0.35">
      <c r="A129" s="1">
        <v>41912</v>
      </c>
      <c r="B129">
        <v>-1.411937292295207E-2</v>
      </c>
      <c r="C129">
        <v>-1.0775684376524101E-2</v>
      </c>
      <c r="D129">
        <v>-1.415124157328629E-2</v>
      </c>
      <c r="E129">
        <v>-8.0682788774744552E-2</v>
      </c>
      <c r="F129">
        <v>-4.0424660206497256E-3</v>
      </c>
      <c r="G129">
        <v>-1.1530571007667859E-2</v>
      </c>
      <c r="H129">
        <v>-5.1838230883913816E-3</v>
      </c>
      <c r="I129">
        <v>-2.8100237242902889E-2</v>
      </c>
      <c r="J129">
        <v>5.8702938244836744E-3</v>
      </c>
      <c r="K129">
        <v>-1.8907650235494341E-2</v>
      </c>
      <c r="L129">
        <v>4.3405041880220097E-3</v>
      </c>
      <c r="M129">
        <v>-6.3472273967439818E-2</v>
      </c>
    </row>
    <row r="130" spans="1:13" x14ac:dyDescent="0.35">
      <c r="A130" s="1">
        <v>41943</v>
      </c>
      <c r="B130">
        <v>2.413128500495532E-2</v>
      </c>
      <c r="C130">
        <v>1.6108526954330848E-2</v>
      </c>
      <c r="D130">
        <v>-2.42891944088699E-2</v>
      </c>
      <c r="E130">
        <v>-3.595089012870023E-2</v>
      </c>
      <c r="F130">
        <v>2.8506703443441861E-2</v>
      </c>
      <c r="G130">
        <v>3.802599857392952E-2</v>
      </c>
      <c r="H130">
        <v>1.5912525101055671E-2</v>
      </c>
      <c r="I130">
        <v>2.0922638327426579E-2</v>
      </c>
      <c r="J130">
        <v>3.4854369233371603E-2</v>
      </c>
      <c r="K130">
        <v>7.724283581771374E-2</v>
      </c>
      <c r="L130">
        <v>5.1238329066627841E-2</v>
      </c>
      <c r="M130">
        <v>-2.9576846521380599E-2</v>
      </c>
    </row>
    <row r="131" spans="1:13" x14ac:dyDescent="0.35">
      <c r="A131" s="1">
        <v>41973</v>
      </c>
      <c r="B131">
        <v>2.6538797031562918E-2</v>
      </c>
      <c r="C131">
        <v>1.288379310887855E-2</v>
      </c>
      <c r="D131">
        <v>1.558061761133755E-2</v>
      </c>
      <c r="E131">
        <v>-9.0949996296396218E-2</v>
      </c>
      <c r="F131">
        <v>2.3218392463507879E-2</v>
      </c>
      <c r="G131">
        <v>3.0327081800038069E-2</v>
      </c>
      <c r="H131">
        <v>4.6979765481879987E-2</v>
      </c>
      <c r="I131">
        <v>5.3046169143071698E-2</v>
      </c>
      <c r="J131">
        <v>5.3965643082263703E-2</v>
      </c>
      <c r="K131">
        <v>1.1587801210269699E-2</v>
      </c>
      <c r="L131">
        <v>3.4194281520110607E-2</v>
      </c>
      <c r="M131">
        <v>-4.751495915549242E-3</v>
      </c>
    </row>
    <row r="132" spans="1:13" x14ac:dyDescent="0.35">
      <c r="A132" s="1">
        <v>42004</v>
      </c>
      <c r="B132">
        <v>-2.522395395576638E-3</v>
      </c>
      <c r="C132">
        <v>1.7873105740955351E-3</v>
      </c>
      <c r="D132">
        <v>-5.5845855333256367E-3</v>
      </c>
      <c r="E132">
        <v>-2.1103950220324741E-3</v>
      </c>
      <c r="F132">
        <v>1.8529568126478772E-2</v>
      </c>
      <c r="G132">
        <v>-2.154924220381105E-4</v>
      </c>
      <c r="H132">
        <v>-2.200810386952368E-2</v>
      </c>
      <c r="I132">
        <v>8.860643497621723E-3</v>
      </c>
      <c r="J132">
        <v>-9.4007719279418644E-3</v>
      </c>
      <c r="K132">
        <v>3.5050775584391403E-2</v>
      </c>
      <c r="L132">
        <v>-1.413307355773963E-2</v>
      </c>
      <c r="M132">
        <v>1.44490660914629E-2</v>
      </c>
    </row>
    <row r="133" spans="1:13" x14ac:dyDescent="0.35">
      <c r="A133" s="1">
        <v>42035</v>
      </c>
      <c r="B133">
        <v>-3.0480188662792781E-2</v>
      </c>
      <c r="C133">
        <v>3.9804779744557983E-2</v>
      </c>
      <c r="D133">
        <v>-1.8490118356754071E-2</v>
      </c>
      <c r="E133">
        <v>-4.6676341053685899E-2</v>
      </c>
      <c r="F133">
        <v>-7.2088301074646033E-2</v>
      </c>
      <c r="G133">
        <v>-3.6171409773066543E-2</v>
      </c>
      <c r="H133">
        <v>-3.5695781776015512E-2</v>
      </c>
      <c r="I133">
        <v>-3.0394734956667339E-2</v>
      </c>
      <c r="J133">
        <v>-9.7401223905118073E-3</v>
      </c>
      <c r="K133">
        <v>2.3027610296384449E-2</v>
      </c>
      <c r="L133">
        <v>1.2931624750389231E-2</v>
      </c>
      <c r="M133">
        <v>8.0605652846052145E-2</v>
      </c>
    </row>
    <row r="134" spans="1:13" x14ac:dyDescent="0.35">
      <c r="A134" s="1">
        <v>42063</v>
      </c>
      <c r="B134">
        <v>5.5882748994536158E-2</v>
      </c>
      <c r="C134">
        <v>-2.338193438577196E-2</v>
      </c>
      <c r="D134">
        <v>7.6665739326472693E-2</v>
      </c>
      <c r="E134">
        <v>4.4906580898107951E-2</v>
      </c>
      <c r="F134">
        <v>5.6603272322827358E-2</v>
      </c>
      <c r="G134">
        <v>5.2126812738849893E-2</v>
      </c>
      <c r="H134">
        <v>7.6914567122784216E-2</v>
      </c>
      <c r="I134">
        <v>8.1985851847410363E-2</v>
      </c>
      <c r="J134">
        <v>4.0605143127879988E-2</v>
      </c>
      <c r="K134">
        <v>-6.608464401148062E-2</v>
      </c>
      <c r="L134">
        <v>4.1981468262733301E-2</v>
      </c>
      <c r="M134">
        <v>-5.6571629121565437E-2</v>
      </c>
    </row>
    <row r="135" spans="1:13" x14ac:dyDescent="0.35">
      <c r="A135" s="1">
        <v>42094</v>
      </c>
      <c r="B135">
        <v>-1.5942040906892881E-2</v>
      </c>
      <c r="C135">
        <v>8.6090915270675694E-3</v>
      </c>
      <c r="D135">
        <v>-5.0292280927995758E-2</v>
      </c>
      <c r="E135">
        <v>-1.161991936692885E-2</v>
      </c>
      <c r="F135">
        <v>-6.1793928137952037E-3</v>
      </c>
      <c r="G135">
        <v>-2.5790526156055819E-2</v>
      </c>
      <c r="H135">
        <v>-3.4959615430074198E-2</v>
      </c>
      <c r="I135">
        <v>-4.8414815051796012E-3</v>
      </c>
      <c r="J135">
        <v>-1.9617073596564619E-2</v>
      </c>
      <c r="K135">
        <v>-1.000310813552918E-2</v>
      </c>
      <c r="L135">
        <v>6.3862039930704384E-3</v>
      </c>
      <c r="M135">
        <v>-2.4709716546465369E-2</v>
      </c>
    </row>
    <row r="136" spans="1:13" x14ac:dyDescent="0.35">
      <c r="A136" s="1">
        <v>42124</v>
      </c>
      <c r="B136">
        <v>9.5488552969413831E-3</v>
      </c>
      <c r="C136">
        <v>-6.1255239404109929E-3</v>
      </c>
      <c r="D136">
        <v>3.3067555773759423E-2</v>
      </c>
      <c r="E136">
        <v>6.3667795917475178E-2</v>
      </c>
      <c r="F136">
        <v>8.290165095319324E-4</v>
      </c>
      <c r="G136">
        <v>-2.5134922670826398E-3</v>
      </c>
      <c r="H136">
        <v>2.713759526869497E-2</v>
      </c>
      <c r="I136">
        <v>-5.3113694376971665E-4</v>
      </c>
      <c r="J136">
        <v>-7.6207916436441536E-3</v>
      </c>
      <c r="K136">
        <v>-4.737720554436109E-3</v>
      </c>
      <c r="L136">
        <v>-1.09561054546683E-2</v>
      </c>
      <c r="M136">
        <v>6.7569282197865732E-4</v>
      </c>
    </row>
    <row r="137" spans="1:13" x14ac:dyDescent="0.35">
      <c r="A137" s="1">
        <v>42155</v>
      </c>
      <c r="B137">
        <v>1.277662747612851E-2</v>
      </c>
      <c r="C137">
        <v>-1.867796998752169E-3</v>
      </c>
      <c r="D137">
        <v>3.7612985941208881E-3</v>
      </c>
      <c r="E137">
        <v>-5.3281205138821168E-2</v>
      </c>
      <c r="F137">
        <v>1.9290969331835491E-2</v>
      </c>
      <c r="G137">
        <v>3.2305334870561531E-3</v>
      </c>
      <c r="H137">
        <v>1.838376035808276E-2</v>
      </c>
      <c r="I137">
        <v>1.306027271333177E-2</v>
      </c>
      <c r="J137">
        <v>8.6458768663084662E-3</v>
      </c>
      <c r="K137">
        <v>6.312494950913905E-3</v>
      </c>
      <c r="L137">
        <v>4.4057440275615527E-2</v>
      </c>
      <c r="M137">
        <v>5.2295956992196579E-3</v>
      </c>
    </row>
    <row r="138" spans="1:13" x14ac:dyDescent="0.35">
      <c r="A138" s="1">
        <v>42185</v>
      </c>
      <c r="B138">
        <v>-1.954896573642095E-2</v>
      </c>
      <c r="C138">
        <v>-1.662126334724956E-2</v>
      </c>
      <c r="D138">
        <v>-4.0296411004915988E-2</v>
      </c>
      <c r="E138">
        <v>-3.5455760633198892E-2</v>
      </c>
      <c r="F138">
        <v>-4.6214917591660409E-3</v>
      </c>
      <c r="G138">
        <v>-2.690570870746134E-2</v>
      </c>
      <c r="H138">
        <v>-4.1998473899703459E-2</v>
      </c>
      <c r="I138">
        <v>5.5293066470776253E-3</v>
      </c>
      <c r="J138">
        <v>-1.8514148501434399E-2</v>
      </c>
      <c r="K138">
        <v>-6.1705823966057498E-2</v>
      </c>
      <c r="L138">
        <v>-3.9274077452908776E-3</v>
      </c>
      <c r="M138">
        <v>-1.5430301958471841E-2</v>
      </c>
    </row>
    <row r="139" spans="1:13" x14ac:dyDescent="0.35">
      <c r="A139" s="1">
        <v>42216</v>
      </c>
      <c r="B139">
        <v>2.0735592064269781E-2</v>
      </c>
      <c r="C139">
        <v>1.2142586665514271E-2</v>
      </c>
      <c r="D139">
        <v>-5.1739675966635978E-2</v>
      </c>
      <c r="E139">
        <v>-8.002074690988259E-2</v>
      </c>
      <c r="F139">
        <v>3.3477573785690051E-2</v>
      </c>
      <c r="G139">
        <v>2.9552289751073602E-3</v>
      </c>
      <c r="H139">
        <v>2.810384468454652E-2</v>
      </c>
      <c r="I139">
        <v>4.7743451596893298E-2</v>
      </c>
      <c r="J139">
        <v>5.5371081438543968E-2</v>
      </c>
      <c r="K139">
        <v>5.9233169811118813E-2</v>
      </c>
      <c r="L139">
        <v>2.914492233659427E-2</v>
      </c>
      <c r="M139">
        <v>-6.7525591262429074E-2</v>
      </c>
    </row>
    <row r="140" spans="1:13" x14ac:dyDescent="0.35">
      <c r="A140" s="1">
        <v>42247</v>
      </c>
      <c r="B140">
        <v>-6.223101784065932E-2</v>
      </c>
      <c r="C140">
        <v>2.5845422252661621E-3</v>
      </c>
      <c r="D140">
        <v>-5.801651418199727E-2</v>
      </c>
      <c r="E140">
        <v>-4.3449918647297192E-2</v>
      </c>
      <c r="F140">
        <v>-7.3223490967718075E-2</v>
      </c>
      <c r="G140">
        <v>-5.555405660938062E-2</v>
      </c>
      <c r="H140">
        <v>-5.6771614324674591E-2</v>
      </c>
      <c r="I140">
        <v>-6.7551780775764403E-2</v>
      </c>
      <c r="J140">
        <v>-6.1482160454197299E-2</v>
      </c>
      <c r="K140">
        <v>-3.5400082524526422E-2</v>
      </c>
      <c r="L140">
        <v>-8.299584048038966E-2</v>
      </c>
      <c r="M140">
        <v>3.508628490045762E-2</v>
      </c>
    </row>
    <row r="141" spans="1:13" x14ac:dyDescent="0.35">
      <c r="A141" s="1">
        <v>42277</v>
      </c>
      <c r="B141">
        <v>-2.50548526305252E-2</v>
      </c>
      <c r="C141">
        <v>1.460343412535448E-2</v>
      </c>
      <c r="D141">
        <v>-7.7112107351315018E-2</v>
      </c>
      <c r="E141">
        <v>-7.4652127860006523E-2</v>
      </c>
      <c r="F141">
        <v>-2.8537218494002922E-2</v>
      </c>
      <c r="G141">
        <v>-2.22868110012997E-2</v>
      </c>
      <c r="H141">
        <v>-1.3813345115171851E-2</v>
      </c>
      <c r="I141">
        <v>-5.8869040403211059E-3</v>
      </c>
      <c r="J141">
        <v>3.891008999622247E-3</v>
      </c>
      <c r="K141">
        <v>2.8757280800500329E-2</v>
      </c>
      <c r="L141">
        <v>-5.8719007369002263E-2</v>
      </c>
      <c r="M141">
        <v>-1.7635855879245991E-2</v>
      </c>
    </row>
    <row r="142" spans="1:13" x14ac:dyDescent="0.35">
      <c r="A142" s="1">
        <v>42308</v>
      </c>
      <c r="B142">
        <v>8.0984945609284154E-2</v>
      </c>
      <c r="C142">
        <v>-6.0513190438005182E-3</v>
      </c>
      <c r="D142">
        <v>0.12598823453395089</v>
      </c>
      <c r="E142">
        <v>0.1058013574760248</v>
      </c>
      <c r="F142">
        <v>6.0780615882025657E-2</v>
      </c>
      <c r="G142">
        <v>8.415095920173421E-2</v>
      </c>
      <c r="H142">
        <v>9.9902581598801277E-2</v>
      </c>
      <c r="I142">
        <v>8.6506170982218578E-2</v>
      </c>
      <c r="J142">
        <v>5.5437974946328961E-2</v>
      </c>
      <c r="K142">
        <v>1.05702653238664E-2</v>
      </c>
      <c r="L142">
        <v>7.4323285354148005E-2</v>
      </c>
      <c r="M142">
        <v>2.394230969342015E-2</v>
      </c>
    </row>
    <row r="143" spans="1:13" x14ac:dyDescent="0.35">
      <c r="A143" s="1">
        <v>42338</v>
      </c>
      <c r="B143">
        <v>2.968729850566731E-3</v>
      </c>
      <c r="C143">
        <v>-4.2214265726325806E-3</v>
      </c>
      <c r="D143">
        <v>9.8890056792391157E-3</v>
      </c>
      <c r="E143">
        <v>-1.4711129752109639E-4</v>
      </c>
      <c r="F143">
        <v>1.9737415113087579E-2</v>
      </c>
      <c r="G143">
        <v>8.6231203329103501E-3</v>
      </c>
      <c r="H143">
        <v>7.0766990761521598E-3</v>
      </c>
      <c r="I143">
        <v>-2.3492234191171408E-3</v>
      </c>
      <c r="J143">
        <v>-9.2649152145192204E-3</v>
      </c>
      <c r="K143">
        <v>-2.1486979513385851E-2</v>
      </c>
      <c r="L143">
        <v>-3.2292138629195222E-3</v>
      </c>
      <c r="M143">
        <v>-7.0118615439982435E-2</v>
      </c>
    </row>
    <row r="144" spans="1:13" x14ac:dyDescent="0.35">
      <c r="A144" s="1">
        <v>42369</v>
      </c>
      <c r="B144">
        <v>-1.5897658635180889E-2</v>
      </c>
      <c r="C144">
        <v>-3.2804840791618162E-3</v>
      </c>
      <c r="D144">
        <v>-4.4371053095605628E-2</v>
      </c>
      <c r="E144">
        <v>-0.1111210201870283</v>
      </c>
      <c r="F144">
        <v>-2.3927738724554001E-2</v>
      </c>
      <c r="G144">
        <v>-2.6060965621177878E-2</v>
      </c>
      <c r="H144">
        <v>-2.1030848345697791E-2</v>
      </c>
      <c r="I144">
        <v>-2.8842799035262882E-2</v>
      </c>
      <c r="J144">
        <v>2.875928381213777E-2</v>
      </c>
      <c r="K144">
        <v>2.097086514616997E-2</v>
      </c>
      <c r="L144">
        <v>1.7081963401846419E-2</v>
      </c>
      <c r="M144">
        <v>-3.4527074994201712E-3</v>
      </c>
    </row>
    <row r="145" spans="1:13" x14ac:dyDescent="0.35">
      <c r="A145" s="1">
        <v>42400</v>
      </c>
      <c r="B145">
        <v>-5.0896771940044161E-2</v>
      </c>
      <c r="C145">
        <v>3.1092449806820351E-2</v>
      </c>
      <c r="D145">
        <v>-0.1132732690099925</v>
      </c>
      <c r="E145">
        <v>-3.560664462298968E-2</v>
      </c>
      <c r="F145">
        <v>-9.2712087998742199E-2</v>
      </c>
      <c r="G145">
        <v>-5.8657575680491007E-2</v>
      </c>
      <c r="H145">
        <v>-3.783054245310824E-2</v>
      </c>
      <c r="I145">
        <v>-5.3208448937166253E-2</v>
      </c>
      <c r="J145">
        <v>5.3331770663738176E-3</v>
      </c>
      <c r="K145">
        <v>4.8261703360344299E-2</v>
      </c>
      <c r="L145">
        <v>-8.0331907746919562E-2</v>
      </c>
      <c r="M145">
        <v>5.2423086617030101E-2</v>
      </c>
    </row>
    <row r="146" spans="1:13" x14ac:dyDescent="0.35">
      <c r="A146" s="1">
        <v>42429</v>
      </c>
      <c r="B146">
        <v>-1.3500177915926059E-3</v>
      </c>
      <c r="C146">
        <v>1.4820615764540969E-2</v>
      </c>
      <c r="D146">
        <v>7.5249406031210331E-2</v>
      </c>
      <c r="E146">
        <v>-2.8401002665107811E-2</v>
      </c>
      <c r="F146">
        <v>-2.9434536139252732E-2</v>
      </c>
      <c r="G146">
        <v>4.1725140456231991E-2</v>
      </c>
      <c r="H146">
        <v>-6.5681875794929567E-3</v>
      </c>
      <c r="I146">
        <v>4.4433748344441248E-3</v>
      </c>
      <c r="J146">
        <v>3.147126345800277E-3</v>
      </c>
      <c r="K146">
        <v>1.918946531577825E-2</v>
      </c>
      <c r="L146">
        <v>-3.6169364020066648E-3</v>
      </c>
      <c r="M146">
        <v>0.1023090308310861</v>
      </c>
    </row>
    <row r="147" spans="1:13" x14ac:dyDescent="0.35">
      <c r="A147" s="1">
        <v>42460</v>
      </c>
      <c r="B147">
        <v>6.5635410704601327E-2</v>
      </c>
      <c r="C147">
        <v>-2.3976895106958551E-4</v>
      </c>
      <c r="D147">
        <v>7.2999989318117908E-2</v>
      </c>
      <c r="E147">
        <v>9.6816727839095229E-2</v>
      </c>
      <c r="F147">
        <v>6.9145112963957089E-2</v>
      </c>
      <c r="G147">
        <v>6.7411936846893727E-2</v>
      </c>
      <c r="H147">
        <v>8.4540462502419977E-2</v>
      </c>
      <c r="I147">
        <v>6.4827096736985723E-2</v>
      </c>
      <c r="J147">
        <v>4.6295056972312398E-2</v>
      </c>
      <c r="K147">
        <v>7.6742926293811298E-2</v>
      </c>
      <c r="L147">
        <v>2.671472979766332E-2</v>
      </c>
      <c r="M147">
        <v>-4.7907772234250254E-3</v>
      </c>
    </row>
    <row r="148" spans="1:13" x14ac:dyDescent="0.35">
      <c r="A148" s="1">
        <v>42490</v>
      </c>
      <c r="B148">
        <v>3.8704624930563369E-3</v>
      </c>
      <c r="C148">
        <v>-7.8510057681224765E-4</v>
      </c>
      <c r="D148">
        <v>4.9841865090065163E-2</v>
      </c>
      <c r="E148">
        <v>8.6769235138241196E-2</v>
      </c>
      <c r="F148">
        <v>3.5367196781157073E-2</v>
      </c>
      <c r="G148">
        <v>1.2362173994860731E-2</v>
      </c>
      <c r="H148">
        <v>-5.1578321127985223E-2</v>
      </c>
      <c r="I148">
        <v>1.2632617770709229E-3</v>
      </c>
      <c r="J148">
        <v>-1.4427407987841701E-2</v>
      </c>
      <c r="K148">
        <v>-2.4480992574329011E-2</v>
      </c>
      <c r="L148">
        <v>2.9223114820915441E-2</v>
      </c>
      <c r="M148">
        <v>4.8127469140411883E-2</v>
      </c>
    </row>
    <row r="149" spans="1:13" x14ac:dyDescent="0.35">
      <c r="A149" s="1">
        <v>42521</v>
      </c>
      <c r="B149">
        <v>1.7797910007715249E-2</v>
      </c>
      <c r="C149">
        <v>-8.9489370925122103E-4</v>
      </c>
      <c r="D149">
        <v>-3.4028022038268269E-3</v>
      </c>
      <c r="E149">
        <v>-9.3773167787531975E-3</v>
      </c>
      <c r="F149">
        <v>1.8700064216191411E-2</v>
      </c>
      <c r="G149">
        <v>-4.2827375060068276E-3</v>
      </c>
      <c r="H149">
        <v>4.7738436298005997E-2</v>
      </c>
      <c r="I149">
        <v>5.0472981919513771E-4</v>
      </c>
      <c r="J149">
        <v>6.8600730895314044E-3</v>
      </c>
      <c r="K149">
        <v>1.496396211265427E-2</v>
      </c>
      <c r="L149">
        <v>2.2107075414075968E-2</v>
      </c>
      <c r="M149">
        <v>-6.2367498661373588E-2</v>
      </c>
    </row>
    <row r="150" spans="1:13" x14ac:dyDescent="0.35">
      <c r="A150" s="1">
        <v>42551</v>
      </c>
      <c r="B150">
        <v>2.5888994443601381E-3</v>
      </c>
      <c r="C150">
        <v>2.8883340407290351E-2</v>
      </c>
      <c r="D150">
        <v>-7.8766671740009286E-3</v>
      </c>
      <c r="E150">
        <v>2.6843902091084448E-2</v>
      </c>
      <c r="F150">
        <v>-3.2861008323938463E-2</v>
      </c>
      <c r="G150">
        <v>7.1067860509641534E-3</v>
      </c>
      <c r="H150">
        <v>-1.387365320355372E-2</v>
      </c>
      <c r="I150">
        <v>-1.146070840924907E-2</v>
      </c>
      <c r="J150">
        <v>5.2199071014507492E-2</v>
      </c>
      <c r="K150">
        <v>7.351135685289778E-2</v>
      </c>
      <c r="L150">
        <v>9.0503563472594806E-3</v>
      </c>
      <c r="M150">
        <v>8.4062679002079754E-2</v>
      </c>
    </row>
    <row r="151" spans="1:13" x14ac:dyDescent="0.35">
      <c r="A151" s="1">
        <v>42582</v>
      </c>
      <c r="B151">
        <v>3.6204591961134007E-2</v>
      </c>
      <c r="C151">
        <v>3.198308259827698E-3</v>
      </c>
      <c r="D151">
        <v>4.946824948078099E-2</v>
      </c>
      <c r="E151">
        <v>-1.2682854305222421E-2</v>
      </c>
      <c r="F151">
        <v>3.3974375122459488E-2</v>
      </c>
      <c r="G151">
        <v>3.5601905519271781E-2</v>
      </c>
      <c r="H151">
        <v>6.860853882323692E-2</v>
      </c>
      <c r="I151">
        <v>4.459700313937276E-2</v>
      </c>
      <c r="J151">
        <v>-8.1930052286169897E-3</v>
      </c>
      <c r="K151">
        <v>-6.6929067887095961E-3</v>
      </c>
      <c r="L151">
        <v>4.7521184548159567E-2</v>
      </c>
      <c r="M151">
        <v>2.1982195786735659E-2</v>
      </c>
    </row>
    <row r="152" spans="1:13" x14ac:dyDescent="0.35">
      <c r="A152" s="1">
        <v>42613</v>
      </c>
      <c r="B152">
        <v>1.4038651877221751E-3</v>
      </c>
      <c r="C152">
        <v>-8.6654182533116852E-3</v>
      </c>
      <c r="D152">
        <v>-2.6735335119596471E-3</v>
      </c>
      <c r="E152">
        <v>1.6631770747802751E-2</v>
      </c>
      <c r="F152">
        <v>3.7756117229517112E-2</v>
      </c>
      <c r="G152">
        <v>9.4314496217147159E-3</v>
      </c>
      <c r="H152">
        <v>1.1558435409209091E-2</v>
      </c>
      <c r="I152">
        <v>-1.3072334895862349E-2</v>
      </c>
      <c r="J152">
        <v>-5.8676669700097328E-3</v>
      </c>
      <c r="K152">
        <v>-5.7045598198059537E-2</v>
      </c>
      <c r="L152">
        <v>-3.2984961171749212E-2</v>
      </c>
      <c r="M152">
        <v>-3.1811722983029263E-2</v>
      </c>
    </row>
    <row r="153" spans="1:13" x14ac:dyDescent="0.35">
      <c r="A153" s="1">
        <v>42643</v>
      </c>
      <c r="B153">
        <v>1.868673274092458E-4</v>
      </c>
      <c r="C153">
        <v>2.7726531268701388E-4</v>
      </c>
      <c r="D153">
        <v>-1.167993916134202E-2</v>
      </c>
      <c r="E153">
        <v>3.621790670681202E-2</v>
      </c>
      <c r="F153">
        <v>-2.841799078514606E-2</v>
      </c>
      <c r="G153">
        <v>1.8598624244954289E-3</v>
      </c>
      <c r="H153">
        <v>2.080024124297486E-2</v>
      </c>
      <c r="I153">
        <v>-2.6699461851262818E-3</v>
      </c>
      <c r="J153">
        <v>-1.5575972937508009E-2</v>
      </c>
      <c r="K153">
        <v>3.604437914128678E-3</v>
      </c>
      <c r="L153">
        <v>-5.1095601155450856E-3</v>
      </c>
      <c r="M153">
        <v>5.2574754221934583E-3</v>
      </c>
    </row>
    <row r="154" spans="1:13" x14ac:dyDescent="0.35">
      <c r="A154" s="1">
        <v>42674</v>
      </c>
      <c r="B154">
        <v>-1.8408901562155581E-2</v>
      </c>
      <c r="C154">
        <v>-1.43692668575639E-2</v>
      </c>
      <c r="D154">
        <v>-2.1164591968131141E-2</v>
      </c>
      <c r="E154">
        <v>-2.8587676461338859E-2</v>
      </c>
      <c r="F154">
        <v>2.2541747379623889E-2</v>
      </c>
      <c r="G154">
        <v>-2.024454994485847E-2</v>
      </c>
      <c r="H154">
        <v>-7.5629565560673129E-3</v>
      </c>
      <c r="I154">
        <v>-2.453696942546069E-2</v>
      </c>
      <c r="J154">
        <v>-7.7349761334866152E-3</v>
      </c>
      <c r="K154">
        <v>8.9409411769243441E-3</v>
      </c>
      <c r="L154">
        <v>-6.8141055157374453E-2</v>
      </c>
      <c r="M154">
        <v>-2.9820032373968349E-2</v>
      </c>
    </row>
    <row r="155" spans="1:13" x14ac:dyDescent="0.35">
      <c r="A155" s="1">
        <v>42704</v>
      </c>
      <c r="B155">
        <v>3.6365812331942138E-2</v>
      </c>
      <c r="C155">
        <v>-4.1115896595282031E-2</v>
      </c>
      <c r="D155">
        <v>6.6008007582434303E-2</v>
      </c>
      <c r="E155">
        <v>8.127470173376361E-2</v>
      </c>
      <c r="F155">
        <v>0.13131278658316831</v>
      </c>
      <c r="G155">
        <v>8.6996533046015401E-2</v>
      </c>
      <c r="H155">
        <v>1.685370355672511E-3</v>
      </c>
      <c r="I155">
        <v>4.6898737871551077E-2</v>
      </c>
      <c r="J155">
        <v>-4.2955160782693458E-2</v>
      </c>
      <c r="K155">
        <v>-5.5743366636814777E-2</v>
      </c>
      <c r="L155">
        <v>2.0425205766529508E-2</v>
      </c>
      <c r="M155">
        <v>-8.4942953333989379E-2</v>
      </c>
    </row>
    <row r="156" spans="1:13" x14ac:dyDescent="0.35">
      <c r="A156" s="1">
        <v>42735</v>
      </c>
      <c r="B156">
        <v>1.9572576167412589E-2</v>
      </c>
      <c r="C156">
        <v>-1.714647112627254E-3</v>
      </c>
      <c r="D156">
        <v>1.7648089464938901E-3</v>
      </c>
      <c r="E156">
        <v>1.715925525166195E-2</v>
      </c>
      <c r="F156">
        <v>3.6876258172823917E-2</v>
      </c>
      <c r="G156">
        <v>3.056388382434605E-3</v>
      </c>
      <c r="H156">
        <v>2.2346802035940971E-2</v>
      </c>
      <c r="I156">
        <v>3.8984639805672572E-4</v>
      </c>
      <c r="J156">
        <v>2.9525782022477461E-2</v>
      </c>
      <c r="K156">
        <v>4.7826006958335832E-2</v>
      </c>
      <c r="L156">
        <v>7.1369865240633601E-3</v>
      </c>
      <c r="M156">
        <v>-2.214939516859538E-2</v>
      </c>
    </row>
    <row r="157" spans="1:13" x14ac:dyDescent="0.35">
      <c r="A157" s="1">
        <v>42766</v>
      </c>
      <c r="B157">
        <v>1.878857889032659E-2</v>
      </c>
      <c r="C157">
        <v>1.444108739617533E-3</v>
      </c>
      <c r="D157">
        <v>4.4469272126682391E-2</v>
      </c>
      <c r="E157">
        <v>-3.2656535228830393E-2</v>
      </c>
      <c r="F157">
        <v>2.577275607279272E-3</v>
      </c>
      <c r="G157">
        <v>1.8471858306767341E-2</v>
      </c>
      <c r="H157">
        <v>3.4948643307435301E-2</v>
      </c>
      <c r="I157">
        <v>4.1274338356203533E-2</v>
      </c>
      <c r="J157">
        <v>1.6874709992343639E-2</v>
      </c>
      <c r="K157">
        <v>1.2481062159876989E-2</v>
      </c>
      <c r="L157">
        <v>2.2659650984592439E-2</v>
      </c>
      <c r="M157">
        <v>5.3629561011510951E-2</v>
      </c>
    </row>
    <row r="158" spans="1:13" x14ac:dyDescent="0.35">
      <c r="A158" s="1">
        <v>42794</v>
      </c>
      <c r="B158">
        <v>3.8940076437006248E-2</v>
      </c>
      <c r="C158">
        <v>7.6370541897716748E-3</v>
      </c>
      <c r="D158">
        <v>5.5655694007983314E-3</v>
      </c>
      <c r="E158">
        <v>-2.107092820774303E-2</v>
      </c>
      <c r="F158">
        <v>5.1422212387703503E-2</v>
      </c>
      <c r="G158">
        <v>3.8382806018214748E-2</v>
      </c>
      <c r="H158">
        <v>4.4330242203651782E-2</v>
      </c>
      <c r="I158">
        <v>1.7990992239123042E-2</v>
      </c>
      <c r="J158">
        <v>4.6623921935667223E-2</v>
      </c>
      <c r="K158">
        <v>5.1323891627924827E-2</v>
      </c>
      <c r="L158">
        <v>6.1458573676593353E-2</v>
      </c>
      <c r="M158">
        <v>3.06795479496067E-2</v>
      </c>
    </row>
    <row r="159" spans="1:13" x14ac:dyDescent="0.35">
      <c r="A159" s="1">
        <v>42825</v>
      </c>
      <c r="B159">
        <v>1.164084265679932E-3</v>
      </c>
      <c r="C159">
        <v>3.1322012919154929E-4</v>
      </c>
      <c r="D159">
        <v>6.1993816119612077E-3</v>
      </c>
      <c r="E159">
        <v>-1.497149558913735E-2</v>
      </c>
      <c r="F159">
        <v>-3.000734019485218E-2</v>
      </c>
      <c r="G159">
        <v>-7.6848640611357766E-3</v>
      </c>
      <c r="H159">
        <v>2.2016299892851251E-2</v>
      </c>
      <c r="I159">
        <v>2.1114747993121519E-2</v>
      </c>
      <c r="J159">
        <v>-4.2354713012353606E-3</v>
      </c>
      <c r="K159">
        <v>-1.3542161370634349E-3</v>
      </c>
      <c r="L159">
        <v>-4.8179318151380102E-3</v>
      </c>
      <c r="M159">
        <v>-9.9373315225115277E-4</v>
      </c>
    </row>
    <row r="160" spans="1:13" x14ac:dyDescent="0.35">
      <c r="A160" s="1">
        <v>42855</v>
      </c>
      <c r="B160">
        <v>1.021815557453642E-2</v>
      </c>
      <c r="C160">
        <v>1.1188959029575511E-2</v>
      </c>
      <c r="D160">
        <v>1.251452368352979E-2</v>
      </c>
      <c r="E160">
        <v>-2.9913620083206641E-2</v>
      </c>
      <c r="F160">
        <v>-8.4638599442299345E-3</v>
      </c>
      <c r="G160">
        <v>1.948261974254795E-2</v>
      </c>
      <c r="H160">
        <v>1.98725525693213E-2</v>
      </c>
      <c r="I160">
        <v>2.3707888668547561E-2</v>
      </c>
      <c r="J160">
        <v>1.093271243446692E-2</v>
      </c>
      <c r="K160">
        <v>7.5721978741891682E-3</v>
      </c>
      <c r="L160">
        <v>1.521510777160184E-2</v>
      </c>
      <c r="M160">
        <v>1.676061306568943E-2</v>
      </c>
    </row>
    <row r="161" spans="1:13" x14ac:dyDescent="0.35">
      <c r="A161" s="1">
        <v>42886</v>
      </c>
      <c r="B161">
        <v>1.397443228819384E-2</v>
      </c>
      <c r="C161">
        <v>8.6338443511904117E-3</v>
      </c>
      <c r="D161">
        <v>1.8874098491572511E-4</v>
      </c>
      <c r="E161">
        <v>-3.6018233363851682E-2</v>
      </c>
      <c r="F161">
        <v>-1.1970826533400199E-2</v>
      </c>
      <c r="G161">
        <v>1.763113248067949E-2</v>
      </c>
      <c r="H161">
        <v>3.8774965947597551E-2</v>
      </c>
      <c r="I161">
        <v>1.0932666854093659E-2</v>
      </c>
      <c r="J161">
        <v>2.6114999394071251E-2</v>
      </c>
      <c r="K161">
        <v>4.0559029667971203E-2</v>
      </c>
      <c r="L161">
        <v>7.6524351693789683E-3</v>
      </c>
      <c r="M161">
        <v>5.0449315274647688E-4</v>
      </c>
    </row>
    <row r="162" spans="1:13" x14ac:dyDescent="0.35">
      <c r="A162" s="1">
        <v>42916</v>
      </c>
      <c r="B162">
        <v>6.2223515067874047E-3</v>
      </c>
      <c r="C162">
        <v>-5.9167215025590636E-3</v>
      </c>
      <c r="D162">
        <v>1.833277119765642E-2</v>
      </c>
      <c r="E162">
        <v>-1.1173604703982321E-3</v>
      </c>
      <c r="F162">
        <v>6.3100250481914255E-2</v>
      </c>
      <c r="G162">
        <v>1.342189086450407E-2</v>
      </c>
      <c r="H162">
        <v>-2.8521107062570831E-2</v>
      </c>
      <c r="I162">
        <v>-1.267389468597413E-2</v>
      </c>
      <c r="J162">
        <v>-2.2792653029499729E-2</v>
      </c>
      <c r="K162">
        <v>-2.7462082128439921E-2</v>
      </c>
      <c r="L162">
        <v>4.4659033536101227E-2</v>
      </c>
      <c r="M162">
        <v>-2.175722044177153E-2</v>
      </c>
    </row>
    <row r="163" spans="1:13" x14ac:dyDescent="0.35">
      <c r="A163" s="1">
        <v>42947</v>
      </c>
      <c r="B163">
        <v>2.0354243420683819E-2</v>
      </c>
      <c r="C163">
        <v>3.787216082064226E-3</v>
      </c>
      <c r="D163">
        <v>1.530688524503576E-2</v>
      </c>
      <c r="E163">
        <v>2.5849284960184789E-2</v>
      </c>
      <c r="F163">
        <v>1.6881496412065381E-2</v>
      </c>
      <c r="G163">
        <v>2.9323928901705538E-3</v>
      </c>
      <c r="H163">
        <v>4.3625088746459102E-2</v>
      </c>
      <c r="I163">
        <v>1.911793936965012E-2</v>
      </c>
      <c r="J163">
        <v>6.8926573677616787E-3</v>
      </c>
      <c r="K163">
        <v>2.39599164141584E-2</v>
      </c>
      <c r="L163">
        <v>8.1692697771131861E-3</v>
      </c>
      <c r="M163">
        <v>2.216693380573442E-2</v>
      </c>
    </row>
    <row r="164" spans="1:13" x14ac:dyDescent="0.35">
      <c r="A164" s="1">
        <v>42978</v>
      </c>
      <c r="B164">
        <v>3.057408130702655E-3</v>
      </c>
      <c r="C164">
        <v>1.4552296163526711E-2</v>
      </c>
      <c r="D164">
        <v>7.8389135860441606E-3</v>
      </c>
      <c r="E164">
        <v>-5.6346519652485487E-2</v>
      </c>
      <c r="F164">
        <v>-1.566638664094366E-2</v>
      </c>
      <c r="G164">
        <v>2.1936815400955818E-3</v>
      </c>
      <c r="H164">
        <v>2.8797381686014312E-2</v>
      </c>
      <c r="I164">
        <v>-1.8782937937589231E-2</v>
      </c>
      <c r="J164">
        <v>-1.1088107306720831E-2</v>
      </c>
      <c r="K164">
        <v>3.2353480768699587E-2</v>
      </c>
      <c r="L164">
        <v>1.7372750675765939E-2</v>
      </c>
      <c r="M164">
        <v>4.0138625205688783E-2</v>
      </c>
    </row>
    <row r="165" spans="1:13" x14ac:dyDescent="0.35">
      <c r="A165" s="1">
        <v>43008</v>
      </c>
      <c r="B165">
        <v>2.0417884831637419E-2</v>
      </c>
      <c r="C165">
        <v>-1.3849277548518829E-2</v>
      </c>
      <c r="D165">
        <v>3.6303312978135598E-2</v>
      </c>
      <c r="E165">
        <v>9.6966515686180088E-2</v>
      </c>
      <c r="F165">
        <v>5.0056114925207673E-2</v>
      </c>
      <c r="G165">
        <v>4.0991995607152283E-2</v>
      </c>
      <c r="H165">
        <v>8.1452865443401024E-3</v>
      </c>
      <c r="I165">
        <v>8.2053791761107497E-3</v>
      </c>
      <c r="J165">
        <v>-7.1754873764251492E-3</v>
      </c>
      <c r="K165">
        <v>-2.795468574903515E-2</v>
      </c>
      <c r="L165">
        <v>9.0722677913568361E-3</v>
      </c>
      <c r="M165">
        <v>-3.2049737193961647E-2</v>
      </c>
    </row>
    <row r="166" spans="1:13" x14ac:dyDescent="0.35">
      <c r="A166" s="1">
        <v>43039</v>
      </c>
      <c r="B166">
        <v>2.306665876259828E-2</v>
      </c>
      <c r="C166">
        <v>-1.8244770681672411E-3</v>
      </c>
      <c r="D166">
        <v>3.8001142220613897E-2</v>
      </c>
      <c r="E166">
        <v>-8.3587318371156627E-3</v>
      </c>
      <c r="F166">
        <v>2.8213750678546479E-2</v>
      </c>
      <c r="G166">
        <v>7.43732908073369E-3</v>
      </c>
      <c r="H166">
        <v>6.3109973082305704E-2</v>
      </c>
      <c r="I166">
        <v>2.0981072405330981E-2</v>
      </c>
      <c r="J166">
        <v>-1.6625224003857571E-2</v>
      </c>
      <c r="K166">
        <v>3.8278047378242253E-2</v>
      </c>
      <c r="L166">
        <v>-7.6147717249757108E-3</v>
      </c>
      <c r="M166">
        <v>-6.5067648822161317E-3</v>
      </c>
    </row>
    <row r="167" spans="1:13" x14ac:dyDescent="0.35">
      <c r="A167" s="1">
        <v>43069</v>
      </c>
      <c r="B167">
        <v>3.0208669399183211E-2</v>
      </c>
      <c r="C167">
        <v>-2.8643213519652382E-3</v>
      </c>
      <c r="D167">
        <v>9.4465970258919008E-3</v>
      </c>
      <c r="E167">
        <v>1.7371229854413531E-2</v>
      </c>
      <c r="F167">
        <v>3.400194525793232E-2</v>
      </c>
      <c r="G167">
        <v>4.0816341759487777E-2</v>
      </c>
      <c r="H167">
        <v>1.403895964630841E-2</v>
      </c>
      <c r="I167">
        <v>4.9416574313880357E-2</v>
      </c>
      <c r="J167">
        <v>5.4255899803585812E-2</v>
      </c>
      <c r="K167">
        <v>2.6496073768136341E-2</v>
      </c>
      <c r="L167">
        <v>2.868054315048596E-2</v>
      </c>
      <c r="M167">
        <v>2.7960402435471821E-3</v>
      </c>
    </row>
    <row r="168" spans="1:13" x14ac:dyDescent="0.35">
      <c r="A168" s="1">
        <v>43100</v>
      </c>
      <c r="B168">
        <v>1.105696452881411E-2</v>
      </c>
      <c r="C168">
        <v>2.115983068153859E-3</v>
      </c>
      <c r="D168">
        <v>2.1046537780819548E-2</v>
      </c>
      <c r="E168">
        <v>5.1352877085190762E-2</v>
      </c>
      <c r="F168">
        <v>1.8705162213734638E-2</v>
      </c>
      <c r="G168">
        <v>2.0866236474386572E-2</v>
      </c>
      <c r="H168">
        <v>5.4432385241507397E-3</v>
      </c>
      <c r="I168">
        <v>2.428499536865969E-2</v>
      </c>
      <c r="J168">
        <v>2.227987715321289E-2</v>
      </c>
      <c r="K168">
        <v>-6.2494619601013657E-2</v>
      </c>
      <c r="L168">
        <v>-5.5195541806902781E-3</v>
      </c>
      <c r="M168">
        <v>2.156177270305459E-2</v>
      </c>
    </row>
    <row r="169" spans="1:13" x14ac:dyDescent="0.35">
      <c r="A169" s="1">
        <v>43131</v>
      </c>
      <c r="B169">
        <v>5.5674771679154127E-2</v>
      </c>
      <c r="C169">
        <v>-2.1881542142915929E-2</v>
      </c>
      <c r="D169">
        <v>3.9201703001793931E-2</v>
      </c>
      <c r="E169">
        <v>3.5215219512845668E-2</v>
      </c>
      <c r="F169">
        <v>6.3507962330570766E-2</v>
      </c>
      <c r="G169">
        <v>5.2264556576921528E-2</v>
      </c>
      <c r="H169">
        <v>6.800209127443857E-2</v>
      </c>
      <c r="I169">
        <v>8.8386984976189797E-2</v>
      </c>
      <c r="J169">
        <v>1.621531258070474E-2</v>
      </c>
      <c r="K169">
        <v>-3.1626420700178397E-2</v>
      </c>
      <c r="L169">
        <v>6.349474841925673E-2</v>
      </c>
      <c r="M169">
        <v>3.1982302436285082E-2</v>
      </c>
    </row>
    <row r="170" spans="1:13" x14ac:dyDescent="0.35">
      <c r="A170" s="1">
        <v>43159</v>
      </c>
      <c r="B170">
        <v>-3.7552150265414141E-2</v>
      </c>
      <c r="C170">
        <v>-9.3608660566202317E-3</v>
      </c>
      <c r="D170">
        <v>-5.4182055319915268E-2</v>
      </c>
      <c r="E170">
        <v>-0.11468174431743081</v>
      </c>
      <c r="F170">
        <v>-2.9689986595684999E-2</v>
      </c>
      <c r="G170">
        <v>-3.9396542077381191E-2</v>
      </c>
      <c r="H170">
        <v>-4.099021237935041E-3</v>
      </c>
      <c r="I170">
        <v>-3.5306856325902913E-2</v>
      </c>
      <c r="J170">
        <v>-7.9337078309470677E-2</v>
      </c>
      <c r="K170">
        <v>-3.9565396032286593E-2</v>
      </c>
      <c r="L170">
        <v>-4.5990712219225571E-2</v>
      </c>
      <c r="M170">
        <v>-2.014748357639462E-2</v>
      </c>
    </row>
    <row r="171" spans="1:13" x14ac:dyDescent="0.35">
      <c r="A171" s="1">
        <v>43190</v>
      </c>
      <c r="B171">
        <v>-2.5742534237679141E-2</v>
      </c>
      <c r="C171">
        <v>1.241691086014907E-2</v>
      </c>
      <c r="D171">
        <v>-4.2347495164368087E-2</v>
      </c>
      <c r="E171">
        <v>1.7084020207479789E-2</v>
      </c>
      <c r="F171">
        <v>-4.2441384794662078E-2</v>
      </c>
      <c r="G171">
        <v>-2.725076705423923E-2</v>
      </c>
      <c r="H171">
        <v>-3.8052974980394623E-2</v>
      </c>
      <c r="I171">
        <v>-2.413606978803751E-2</v>
      </c>
      <c r="J171">
        <v>-9.110261226035643E-3</v>
      </c>
      <c r="K171">
        <v>3.7262181649346797E-2</v>
      </c>
      <c r="L171">
        <v>-2.959931319432663E-2</v>
      </c>
      <c r="M171">
        <v>5.4240447074827003E-3</v>
      </c>
    </row>
    <row r="172" spans="1:13" x14ac:dyDescent="0.35">
      <c r="A172" s="1">
        <v>43220</v>
      </c>
      <c r="B172">
        <v>3.8297668401376939E-3</v>
      </c>
      <c r="C172">
        <v>-1.248506402304983E-2</v>
      </c>
      <c r="D172">
        <v>1.2286797461471539E-3</v>
      </c>
      <c r="E172">
        <v>9.0700752202026891E-2</v>
      </c>
      <c r="F172">
        <v>-4.3619673426058547E-3</v>
      </c>
      <c r="G172">
        <v>-2.8259890272061661E-2</v>
      </c>
      <c r="H172">
        <v>6.1136379758686132E-4</v>
      </c>
      <c r="I172">
        <v>2.351455484903342E-2</v>
      </c>
      <c r="J172">
        <v>-4.2303436109598642E-2</v>
      </c>
      <c r="K172">
        <v>2.0178784176404729E-2</v>
      </c>
      <c r="L172">
        <v>1.0509461847672871E-2</v>
      </c>
      <c r="M172">
        <v>-7.6414583813644299E-3</v>
      </c>
    </row>
    <row r="173" spans="1:13" x14ac:dyDescent="0.35">
      <c r="A173" s="1">
        <v>43251</v>
      </c>
      <c r="B173">
        <v>2.379684003742355E-2</v>
      </c>
      <c r="C173">
        <v>1.086832140655147E-2</v>
      </c>
      <c r="D173">
        <v>2.0315069425361539E-2</v>
      </c>
      <c r="E173">
        <v>2.9501915045826891E-2</v>
      </c>
      <c r="F173">
        <v>-9.8844931246158119E-3</v>
      </c>
      <c r="G173">
        <v>3.0276648273063419E-2</v>
      </c>
      <c r="H173">
        <v>6.5626137932599971E-2</v>
      </c>
      <c r="I173">
        <v>1.967022650855332E-2</v>
      </c>
      <c r="J173">
        <v>-1.578280351175065E-2</v>
      </c>
      <c r="K173">
        <v>-1.1116411799991789E-2</v>
      </c>
      <c r="L173">
        <v>1.8217312031838519E-3</v>
      </c>
      <c r="M173">
        <v>-1.291574632125325E-2</v>
      </c>
    </row>
    <row r="174" spans="1:13" x14ac:dyDescent="0.35">
      <c r="A174" s="1">
        <v>43281</v>
      </c>
      <c r="B174">
        <v>6.1355885936666974E-3</v>
      </c>
      <c r="C174">
        <v>5.8412528901286009E-4</v>
      </c>
      <c r="D174">
        <v>2.7517425428409399E-3</v>
      </c>
      <c r="E174">
        <v>5.6791497622041831E-3</v>
      </c>
      <c r="F174">
        <v>-1.7623869954171308E-2</v>
      </c>
      <c r="G174">
        <v>-3.4477457385683863E-2</v>
      </c>
      <c r="H174">
        <v>-2.6346880212320119E-3</v>
      </c>
      <c r="I174">
        <v>3.5547306464422057E-2</v>
      </c>
      <c r="J174">
        <v>4.4677518306205137E-2</v>
      </c>
      <c r="K174">
        <v>2.7749712609731251E-2</v>
      </c>
      <c r="L174">
        <v>1.635865512673362E-2</v>
      </c>
      <c r="M174">
        <v>-3.5996062175521537E-2</v>
      </c>
    </row>
    <row r="175" spans="1:13" x14ac:dyDescent="0.35">
      <c r="A175" s="1">
        <v>43312</v>
      </c>
      <c r="B175">
        <v>3.6539009824450019E-2</v>
      </c>
      <c r="C175">
        <v>-5.8114816111256573E-3</v>
      </c>
      <c r="D175">
        <v>2.81851912922364E-2</v>
      </c>
      <c r="E175">
        <v>1.541917390008019E-2</v>
      </c>
      <c r="F175">
        <v>4.988202842511047E-2</v>
      </c>
      <c r="G175">
        <v>7.1252096253538788E-2</v>
      </c>
      <c r="H175">
        <v>2.0657570628314751E-2</v>
      </c>
      <c r="I175">
        <v>1.7863304457124141E-2</v>
      </c>
      <c r="J175">
        <v>3.8824723005087318E-2</v>
      </c>
      <c r="K175">
        <v>1.584755242736291E-2</v>
      </c>
      <c r="L175">
        <v>6.3482362131082049E-2</v>
      </c>
      <c r="M175">
        <v>-2.2974665507950579E-2</v>
      </c>
    </row>
    <row r="176" spans="1:13" x14ac:dyDescent="0.35">
      <c r="A176" s="1">
        <v>43343</v>
      </c>
      <c r="B176">
        <v>3.2064389469061538E-2</v>
      </c>
      <c r="C176">
        <v>1.103096904896717E-2</v>
      </c>
      <c r="D176">
        <v>-7.7311919686819941E-3</v>
      </c>
      <c r="E176">
        <v>-3.5369343125169823E-2</v>
      </c>
      <c r="F176">
        <v>1.350403476558837E-2</v>
      </c>
      <c r="G176">
        <v>2.3370490439855729E-3</v>
      </c>
      <c r="H176">
        <v>6.3903756763835862E-2</v>
      </c>
      <c r="I176">
        <v>4.9786883506631963E-2</v>
      </c>
      <c r="J176">
        <v>3.9125335132541572E-3</v>
      </c>
      <c r="K176">
        <v>1.279886477765624E-2</v>
      </c>
      <c r="L176">
        <v>4.2381475665268731E-2</v>
      </c>
      <c r="M176">
        <v>-1.8967294382157721E-2</v>
      </c>
    </row>
    <row r="177" spans="1:13" x14ac:dyDescent="0.35">
      <c r="A177" s="1">
        <v>43373</v>
      </c>
      <c r="B177">
        <v>5.6759319968051614E-3</v>
      </c>
      <c r="C177">
        <v>-1.317939191589268E-2</v>
      </c>
      <c r="D177">
        <v>-1.8117335166766502E-2</v>
      </c>
      <c r="E177">
        <v>2.4165761450205991E-2</v>
      </c>
      <c r="F177">
        <v>-2.240353477658541E-2</v>
      </c>
      <c r="G177">
        <v>2.154042496447417E-2</v>
      </c>
      <c r="H177">
        <v>-1.9283299044392521E-4</v>
      </c>
      <c r="I177">
        <v>5.2902043433142856E-3</v>
      </c>
      <c r="J177">
        <v>9.8238068681166801E-3</v>
      </c>
      <c r="K177">
        <v>-6.5042188233048748E-3</v>
      </c>
      <c r="L177">
        <v>2.9114149025531329E-2</v>
      </c>
      <c r="M177">
        <v>-8.5869015896031797E-3</v>
      </c>
    </row>
    <row r="178" spans="1:13" x14ac:dyDescent="0.35">
      <c r="A178" s="1">
        <v>43404</v>
      </c>
      <c r="B178">
        <v>-7.0798059359693966E-2</v>
      </c>
      <c r="C178">
        <v>-3.6515843299280699E-3</v>
      </c>
      <c r="D178">
        <v>-9.6329087133288027E-2</v>
      </c>
      <c r="E178">
        <v>-0.1202287223864755</v>
      </c>
      <c r="F178">
        <v>-4.8283014730045259E-2</v>
      </c>
      <c r="G178">
        <v>-0.1150445707263703</v>
      </c>
      <c r="H178">
        <v>-8.3433393232998476E-2</v>
      </c>
      <c r="I178">
        <v>-0.1064795753740486</v>
      </c>
      <c r="J178">
        <v>1.982813306310138E-2</v>
      </c>
      <c r="K178">
        <v>1.9560094315513869E-2</v>
      </c>
      <c r="L178">
        <v>-7.0194646199800204E-2</v>
      </c>
      <c r="M178">
        <v>1.9853996787059461E-2</v>
      </c>
    </row>
    <row r="179" spans="1:13" x14ac:dyDescent="0.35">
      <c r="A179" s="1">
        <v>43434</v>
      </c>
      <c r="B179">
        <v>2.017322899163965E-2</v>
      </c>
      <c r="C179">
        <v>1.35187515673767E-2</v>
      </c>
      <c r="D179">
        <v>3.7310762731254332E-2</v>
      </c>
      <c r="E179">
        <v>-1.5757560531962419E-2</v>
      </c>
      <c r="F179">
        <v>2.591710768205235E-2</v>
      </c>
      <c r="G179">
        <v>3.735870613575365E-2</v>
      </c>
      <c r="H179">
        <v>-1.9820000341807639E-2</v>
      </c>
      <c r="I179">
        <v>2.446587678327505E-2</v>
      </c>
      <c r="J179">
        <v>2.2468699702521189E-2</v>
      </c>
      <c r="K179">
        <v>3.4776633126619487E-2</v>
      </c>
      <c r="L179">
        <v>7.7732999499287025E-2</v>
      </c>
      <c r="M179">
        <v>4.7304710268445396E-3</v>
      </c>
    </row>
    <row r="180" spans="1:13" x14ac:dyDescent="0.35">
      <c r="A180" s="1">
        <v>43465</v>
      </c>
      <c r="B180">
        <v>-9.4629239716887525E-2</v>
      </c>
      <c r="C180">
        <v>2.6937804681971041E-2</v>
      </c>
      <c r="D180">
        <v>-7.1363997146005165E-2</v>
      </c>
      <c r="E180">
        <v>-0.13283689834743789</v>
      </c>
      <c r="F180">
        <v>-0.11798357745062971</v>
      </c>
      <c r="G180">
        <v>-0.1127096450022211</v>
      </c>
      <c r="H180">
        <v>-8.7482195246561645E-2</v>
      </c>
      <c r="I180">
        <v>-8.2906150284198343E-2</v>
      </c>
      <c r="J180">
        <v>-9.3371778940372963E-2</v>
      </c>
      <c r="K180">
        <v>-4.0763923421780042E-2</v>
      </c>
      <c r="L180">
        <v>-9.8203968016168375E-2</v>
      </c>
      <c r="M180">
        <v>4.9526503318065629E-2</v>
      </c>
    </row>
    <row r="181" spans="1:13" x14ac:dyDescent="0.35">
      <c r="A181" s="1">
        <v>43496</v>
      </c>
      <c r="B181">
        <v>7.7085881206153672E-2</v>
      </c>
      <c r="C181">
        <v>7.4134803363179458E-3</v>
      </c>
      <c r="D181">
        <v>5.4504736682968069E-2</v>
      </c>
      <c r="E181">
        <v>0.1062668189674687</v>
      </c>
      <c r="F181">
        <v>8.5260428298463253E-2</v>
      </c>
      <c r="G181">
        <v>0.1081972943711387</v>
      </c>
      <c r="H181">
        <v>6.707625952260976E-2</v>
      </c>
      <c r="I181">
        <v>9.4106499015683909E-2</v>
      </c>
      <c r="J181">
        <v>5.0120718857915143E-2</v>
      </c>
      <c r="K181">
        <v>3.4178341842445281E-2</v>
      </c>
      <c r="L181">
        <v>4.6966334175793989E-2</v>
      </c>
      <c r="M181">
        <v>2.9774757440876879E-2</v>
      </c>
    </row>
    <row r="182" spans="1:13" x14ac:dyDescent="0.35">
      <c r="A182" s="1">
        <v>43524</v>
      </c>
      <c r="B182">
        <v>3.1603810054393833E-2</v>
      </c>
      <c r="C182">
        <v>-3.9281695565858143E-3</v>
      </c>
      <c r="D182">
        <v>3.1367928428883467E-2</v>
      </c>
      <c r="E182">
        <v>2.2786453335529529E-2</v>
      </c>
      <c r="F182">
        <v>2.2112960023933152E-2</v>
      </c>
      <c r="G182">
        <v>6.1730541835754771E-2</v>
      </c>
      <c r="H182">
        <v>6.6817755403411283E-2</v>
      </c>
      <c r="I182">
        <v>1.306008288237015E-2</v>
      </c>
      <c r="J182">
        <v>1.7637055227631041E-2</v>
      </c>
      <c r="K182">
        <v>4.0266770515044133E-2</v>
      </c>
      <c r="L182">
        <v>1.0750650118674271E-2</v>
      </c>
      <c r="M182">
        <v>-6.0199758963763728E-3</v>
      </c>
    </row>
    <row r="183" spans="1:13" x14ac:dyDescent="0.35">
      <c r="A183" s="1">
        <v>43555</v>
      </c>
      <c r="B183">
        <v>1.924490475858498E-2</v>
      </c>
      <c r="C183">
        <v>2.4784362837777071E-2</v>
      </c>
      <c r="D183">
        <v>1.2451353537960669E-2</v>
      </c>
      <c r="E183">
        <v>2.1057476103931719E-2</v>
      </c>
      <c r="F183">
        <v>-2.592717356956831E-2</v>
      </c>
      <c r="G183">
        <v>-1.156163459471404E-2</v>
      </c>
      <c r="H183">
        <v>4.6584640253035658E-2</v>
      </c>
      <c r="I183">
        <v>3.5900758133137867E-2</v>
      </c>
      <c r="J183">
        <v>3.7517279339640552E-2</v>
      </c>
      <c r="K183">
        <v>2.753194497794231E-2</v>
      </c>
      <c r="L183">
        <v>4.8073594735775771E-3</v>
      </c>
      <c r="M183">
        <v>-1.607280254258114E-2</v>
      </c>
    </row>
    <row r="184" spans="1:13" x14ac:dyDescent="0.35">
      <c r="A184" s="1">
        <v>43585</v>
      </c>
      <c r="B184">
        <v>3.9691096678220461E-2</v>
      </c>
      <c r="C184">
        <v>-4.3155287588581004E-3</v>
      </c>
      <c r="D184">
        <v>3.4531825695700569E-2</v>
      </c>
      <c r="E184">
        <v>-1.510058702267614E-4</v>
      </c>
      <c r="F184">
        <v>8.6038343989232491E-2</v>
      </c>
      <c r="G184">
        <v>3.8949434158406682E-2</v>
      </c>
      <c r="H184">
        <v>6.1705513105736021E-2</v>
      </c>
      <c r="I184">
        <v>5.3193239454778503E-2</v>
      </c>
      <c r="J184">
        <v>2.8116514999652949E-2</v>
      </c>
      <c r="K184">
        <v>9.2403647834866653E-3</v>
      </c>
      <c r="L184">
        <v>-2.7513975269717331E-2</v>
      </c>
      <c r="M184">
        <v>-6.8713851196076092E-3</v>
      </c>
    </row>
    <row r="185" spans="1:13" x14ac:dyDescent="0.35">
      <c r="A185" s="1">
        <v>43616</v>
      </c>
      <c r="B185">
        <v>-6.5657048859495859E-2</v>
      </c>
      <c r="C185">
        <v>2.9431793344338431E-2</v>
      </c>
      <c r="D185">
        <v>-8.5351160835861695E-2</v>
      </c>
      <c r="E185">
        <v>-0.1176886641565025</v>
      </c>
      <c r="F185">
        <v>-7.443738104895381E-2</v>
      </c>
      <c r="G185">
        <v>-7.9476795343354389E-2</v>
      </c>
      <c r="H185">
        <v>-9.063338266681864E-2</v>
      </c>
      <c r="I185">
        <v>-7.9085754154554877E-2</v>
      </c>
      <c r="J185">
        <v>-3.7067461724519912E-2</v>
      </c>
      <c r="K185">
        <v>-7.8658142836611766E-3</v>
      </c>
      <c r="L185">
        <v>-2.243209163596838E-2</v>
      </c>
      <c r="M185">
        <v>1.7033291839178229E-2</v>
      </c>
    </row>
    <row r="186" spans="1:13" x14ac:dyDescent="0.35">
      <c r="A186" s="1">
        <v>43646</v>
      </c>
      <c r="B186">
        <v>6.8104070572651665E-2</v>
      </c>
      <c r="C186">
        <v>1.3642552156587049E-2</v>
      </c>
      <c r="D186">
        <v>0.10942574704916461</v>
      </c>
      <c r="E186">
        <v>8.9796310364152809E-2</v>
      </c>
      <c r="F186">
        <v>6.4416864354125636E-2</v>
      </c>
      <c r="G186">
        <v>7.6223933377538522E-2</v>
      </c>
      <c r="H186">
        <v>8.5611243168016937E-2</v>
      </c>
      <c r="I186">
        <v>7.5255280600623919E-2</v>
      </c>
      <c r="J186">
        <v>5.087878784321731E-2</v>
      </c>
      <c r="K186">
        <v>3.1365975743116607E-2</v>
      </c>
      <c r="L186">
        <v>6.3857301010806111E-2</v>
      </c>
      <c r="M186">
        <v>7.6623118032123294E-2</v>
      </c>
    </row>
    <row r="187" spans="1:13" x14ac:dyDescent="0.35">
      <c r="A187" s="1">
        <v>43677</v>
      </c>
      <c r="B187">
        <v>1.427079518729713E-2</v>
      </c>
      <c r="C187">
        <v>-1.0208457572060681E-3</v>
      </c>
      <c r="D187">
        <v>-2.7387016004309932E-3</v>
      </c>
      <c r="E187">
        <v>-1.5979898166225581E-2</v>
      </c>
      <c r="F187">
        <v>2.3277769058317691E-2</v>
      </c>
      <c r="G187">
        <v>5.1535404019151798E-3</v>
      </c>
      <c r="H187">
        <v>3.4384361891680808E-2</v>
      </c>
      <c r="I187">
        <v>1.2671196970964081E-2</v>
      </c>
      <c r="J187">
        <v>2.3149952653025881E-2</v>
      </c>
      <c r="K187">
        <v>-1.3425880191566539E-3</v>
      </c>
      <c r="L187">
        <v>-1.6324620599110769E-2</v>
      </c>
      <c r="M187">
        <v>2.9964638671531318E-3</v>
      </c>
    </row>
    <row r="188" spans="1:13" x14ac:dyDescent="0.35">
      <c r="A188" s="1">
        <v>43708</v>
      </c>
      <c r="B188">
        <v>-1.5968171874257919E-2</v>
      </c>
      <c r="C188">
        <v>3.8922901048515257E-2</v>
      </c>
      <c r="D188">
        <v>-2.8690368620738042E-2</v>
      </c>
      <c r="E188">
        <v>-8.6924213991368848E-2</v>
      </c>
      <c r="F188">
        <v>-4.8223979622182611E-2</v>
      </c>
      <c r="G188">
        <v>-2.6827654411225591E-2</v>
      </c>
      <c r="H188">
        <v>-1.5471174338540729E-2</v>
      </c>
      <c r="I188">
        <v>-9.4882457896252603E-3</v>
      </c>
      <c r="J188">
        <v>2.1473941463205911E-2</v>
      </c>
      <c r="K188">
        <v>4.9629346248560413E-2</v>
      </c>
      <c r="L188">
        <v>-5.942569798801145E-3</v>
      </c>
      <c r="M188">
        <v>7.2693335231192258E-2</v>
      </c>
    </row>
    <row r="189" spans="1:13" x14ac:dyDescent="0.35">
      <c r="A189" s="1">
        <v>43738</v>
      </c>
      <c r="B189">
        <v>1.853778344136359E-2</v>
      </c>
      <c r="C189">
        <v>-1.102385813192797E-2</v>
      </c>
      <c r="D189">
        <v>3.1302704800976848E-2</v>
      </c>
      <c r="E189">
        <v>3.8588535397388053E-2</v>
      </c>
      <c r="F189">
        <v>4.4420058120383299E-2</v>
      </c>
      <c r="G189">
        <v>2.966886089011922E-2</v>
      </c>
      <c r="H189">
        <v>1.560605352517319E-2</v>
      </c>
      <c r="I189">
        <v>1.2634259789481741E-2</v>
      </c>
      <c r="J189">
        <v>1.7361183469816851E-2</v>
      </c>
      <c r="K189">
        <v>4.1637574731030018E-2</v>
      </c>
      <c r="L189">
        <v>-1.056295536243645E-3</v>
      </c>
      <c r="M189">
        <v>-3.2005458264324993E-2</v>
      </c>
    </row>
    <row r="190" spans="1:13" x14ac:dyDescent="0.35">
      <c r="A190" s="1">
        <v>43769</v>
      </c>
      <c r="B190">
        <v>2.1427791159442929E-2</v>
      </c>
      <c r="C190">
        <v>1.607797168468039E-3</v>
      </c>
      <c r="D190">
        <v>-1.7175104869782129E-4</v>
      </c>
      <c r="E190">
        <v>-2.116833183853695E-2</v>
      </c>
      <c r="F190">
        <v>2.4692774059025261E-2</v>
      </c>
      <c r="G190">
        <v>1.127216174950085E-2</v>
      </c>
      <c r="H190">
        <v>3.8250612514716398E-2</v>
      </c>
      <c r="I190">
        <v>1.2418359251240569E-3</v>
      </c>
      <c r="J190">
        <v>-4.2421805249697186E-3</v>
      </c>
      <c r="K190">
        <v>-7.5974546980632773E-3</v>
      </c>
      <c r="L190">
        <v>4.9988907641405511E-2</v>
      </c>
      <c r="M190">
        <v>2.7132980049982439E-2</v>
      </c>
    </row>
    <row r="191" spans="1:13" x14ac:dyDescent="0.35">
      <c r="A191" s="1">
        <v>43799</v>
      </c>
      <c r="B191">
        <v>3.5655762312428507E-2</v>
      </c>
      <c r="C191">
        <v>-6.5665343902479023E-3</v>
      </c>
      <c r="D191">
        <v>3.1297526801649322E-2</v>
      </c>
      <c r="E191">
        <v>1.591791439646029E-2</v>
      </c>
      <c r="F191">
        <v>4.9287789322957742E-2</v>
      </c>
      <c r="G191">
        <v>4.3980739214409148E-2</v>
      </c>
      <c r="H191">
        <v>5.2272985339628431E-2</v>
      </c>
      <c r="I191">
        <v>1.3152995803269009E-2</v>
      </c>
      <c r="J191">
        <v>1.364112491271241E-2</v>
      </c>
      <c r="K191">
        <v>-1.8853760392016469E-2</v>
      </c>
      <c r="L191">
        <v>4.8815371386077722E-2</v>
      </c>
      <c r="M191">
        <v>-3.2929071155431089E-2</v>
      </c>
    </row>
    <row r="192" spans="1:13" x14ac:dyDescent="0.35">
      <c r="A192" s="1">
        <v>43830</v>
      </c>
      <c r="B192">
        <v>2.9736273009000062E-2</v>
      </c>
      <c r="C192">
        <v>-7.4141207270148612E-3</v>
      </c>
      <c r="D192">
        <v>2.8222102669319241E-2</v>
      </c>
      <c r="E192">
        <v>5.8516507060081928E-2</v>
      </c>
      <c r="F192">
        <v>2.5758042002113068E-2</v>
      </c>
      <c r="G192">
        <v>-2.0133038990959311E-3</v>
      </c>
      <c r="H192">
        <v>4.229881169474714E-2</v>
      </c>
      <c r="I192">
        <v>2.7256726437748569E-2</v>
      </c>
      <c r="J192">
        <v>2.3840746060768581E-2</v>
      </c>
      <c r="K192">
        <v>3.237564372529933E-2</v>
      </c>
      <c r="L192">
        <v>3.4162522002764817E-2</v>
      </c>
      <c r="M192">
        <v>3.5753913146615801E-2</v>
      </c>
    </row>
    <row r="193" spans="1:13" x14ac:dyDescent="0.35">
      <c r="A193" s="1">
        <v>43861</v>
      </c>
      <c r="B193">
        <v>-3.9220276379303698E-4</v>
      </c>
      <c r="C193">
        <v>3.1653787334408712E-2</v>
      </c>
      <c r="D193">
        <v>-6.3692260623654295E-2</v>
      </c>
      <c r="E193">
        <v>-0.1164514612989787</v>
      </c>
      <c r="F193">
        <v>-2.700195213444179E-2</v>
      </c>
      <c r="G193">
        <v>-4.4284605343838379E-3</v>
      </c>
      <c r="H193">
        <v>3.9149504675374917E-2</v>
      </c>
      <c r="I193">
        <v>-7.9772932231048088E-4</v>
      </c>
      <c r="J193">
        <v>3.170550876303579E-3</v>
      </c>
      <c r="K193">
        <v>6.5292668298721601E-2</v>
      </c>
      <c r="L193">
        <v>-2.7066200618452999E-2</v>
      </c>
      <c r="M193">
        <v>4.6292907354501978E-2</v>
      </c>
    </row>
    <row r="194" spans="1:13" x14ac:dyDescent="0.35">
      <c r="A194" s="1">
        <v>43890</v>
      </c>
      <c r="B194">
        <v>-8.590515229600193E-2</v>
      </c>
      <c r="C194">
        <v>3.1041473290394531E-2</v>
      </c>
      <c r="D194">
        <v>-8.9048390431137658E-2</v>
      </c>
      <c r="E194">
        <v>-0.16591496003984621</v>
      </c>
      <c r="F194">
        <v>-0.11932813017414109</v>
      </c>
      <c r="G194">
        <v>-0.1042515634946355</v>
      </c>
      <c r="H194">
        <v>-7.5812065948765994E-2</v>
      </c>
      <c r="I194">
        <v>-7.8746883500766529E-2</v>
      </c>
      <c r="J194">
        <v>-8.5717196138877405E-2</v>
      </c>
      <c r="K194">
        <v>-0.1037833657532832</v>
      </c>
      <c r="L194">
        <v>-6.8136226147493595E-2</v>
      </c>
      <c r="M194">
        <v>-2.1859309143570371E-3</v>
      </c>
    </row>
    <row r="195" spans="1:13" x14ac:dyDescent="0.35">
      <c r="A195" s="1">
        <v>43921</v>
      </c>
      <c r="B195">
        <v>-0.13183397201338029</v>
      </c>
      <c r="C195">
        <v>3.3948776508395888E-2</v>
      </c>
      <c r="D195">
        <v>-0.1507846939021498</v>
      </c>
      <c r="E195">
        <v>-0.42115185458247367</v>
      </c>
      <c r="F195">
        <v>-0.23617719454650879</v>
      </c>
      <c r="G195">
        <v>-0.20611357586114609</v>
      </c>
      <c r="H195">
        <v>-8.9683453749401565E-2</v>
      </c>
      <c r="I195">
        <v>-0.16149959249027909</v>
      </c>
      <c r="J195">
        <v>-5.6909723013565117E-2</v>
      </c>
      <c r="K195">
        <v>-0.1053116378512278</v>
      </c>
      <c r="L195">
        <v>-3.9649175712291651E-2</v>
      </c>
      <c r="M195">
        <v>-5.3812015894196819E-3</v>
      </c>
    </row>
    <row r="196" spans="1:13" x14ac:dyDescent="0.35">
      <c r="A196" s="1">
        <v>43951</v>
      </c>
      <c r="B196">
        <v>0.1206181460780176</v>
      </c>
      <c r="C196">
        <v>6.479465000248652E-3</v>
      </c>
      <c r="D196">
        <v>0.14138247741805501</v>
      </c>
      <c r="E196">
        <v>0.26822349827557218</v>
      </c>
      <c r="F196">
        <v>9.040778446274933E-2</v>
      </c>
      <c r="G196">
        <v>8.445209113359331E-2</v>
      </c>
      <c r="H196">
        <v>0.12871388372765849</v>
      </c>
      <c r="I196">
        <v>0.1729654651226511</v>
      </c>
      <c r="J196">
        <v>6.726549257135428E-2</v>
      </c>
      <c r="K196">
        <v>3.2842276338178163E-2</v>
      </c>
      <c r="L196">
        <v>0.11856043333219279</v>
      </c>
      <c r="M196">
        <v>6.7016933278607915E-2</v>
      </c>
    </row>
    <row r="197" spans="1:13" x14ac:dyDescent="0.35">
      <c r="A197" s="1">
        <v>43982</v>
      </c>
      <c r="B197">
        <v>4.6528024010422442E-2</v>
      </c>
      <c r="C197">
        <v>1.866872625216232E-3</v>
      </c>
      <c r="D197">
        <v>6.6548482474891202E-2</v>
      </c>
      <c r="E197">
        <v>1.9802555357211649E-2</v>
      </c>
      <c r="F197">
        <v>2.684134633309343E-2</v>
      </c>
      <c r="G197">
        <v>5.2483900995955679E-2</v>
      </c>
      <c r="H197">
        <v>6.930633822179999E-2</v>
      </c>
      <c r="I197">
        <v>6.3063676801575319E-2</v>
      </c>
      <c r="J197">
        <v>1.6512549656726879E-2</v>
      </c>
      <c r="K197">
        <v>4.1562121808923269E-2</v>
      </c>
      <c r="L197">
        <v>3.2359677865771992E-2</v>
      </c>
      <c r="M197">
        <v>2.5622090176725901E-2</v>
      </c>
    </row>
    <row r="198" spans="1:13" x14ac:dyDescent="0.35">
      <c r="A198" s="1">
        <v>44012</v>
      </c>
      <c r="B198">
        <v>1.9693002625505329E-2</v>
      </c>
      <c r="C198">
        <v>5.4309456611001394E-4</v>
      </c>
      <c r="D198">
        <v>2.1580081512771802E-2</v>
      </c>
      <c r="E198">
        <v>-1.101601510635364E-2</v>
      </c>
      <c r="F198">
        <v>-5.2415961334624228E-3</v>
      </c>
      <c r="G198">
        <v>1.953635632533501E-2</v>
      </c>
      <c r="H198">
        <v>6.7182471025561963E-2</v>
      </c>
      <c r="I198">
        <v>3.0275726856059389E-2</v>
      </c>
      <c r="J198">
        <v>-2.2485504001652501E-3</v>
      </c>
      <c r="K198">
        <v>-4.7849420814749521E-2</v>
      </c>
      <c r="L198">
        <v>-2.472901367629721E-2</v>
      </c>
      <c r="M198">
        <v>2.8875079066485121E-2</v>
      </c>
    </row>
    <row r="199" spans="1:13" x14ac:dyDescent="0.35">
      <c r="A199" s="1">
        <v>44043</v>
      </c>
      <c r="B199">
        <v>5.4852885214584653E-2</v>
      </c>
      <c r="C199">
        <v>8.6496376661537866E-3</v>
      </c>
      <c r="D199">
        <v>6.8744352819160248E-2</v>
      </c>
      <c r="E199">
        <v>-4.9278842614446372E-2</v>
      </c>
      <c r="F199">
        <v>3.7740162266009847E-2</v>
      </c>
      <c r="G199">
        <v>4.3159683760062961E-2</v>
      </c>
      <c r="H199">
        <v>5.5290371713722752E-2</v>
      </c>
      <c r="I199">
        <v>7.0218904551203387E-2</v>
      </c>
      <c r="J199">
        <v>6.6944415261918966E-2</v>
      </c>
      <c r="K199">
        <v>7.5082328983908209E-2</v>
      </c>
      <c r="L199">
        <v>5.3125343248660251E-2</v>
      </c>
      <c r="M199">
        <v>0.10385120185047381</v>
      </c>
    </row>
    <row r="200" spans="1:13" x14ac:dyDescent="0.35">
      <c r="A200" s="1">
        <v>44074</v>
      </c>
      <c r="B200">
        <v>6.9413929445889977E-2</v>
      </c>
      <c r="C200">
        <v>-8.3782009499566712E-3</v>
      </c>
      <c r="D200">
        <v>4.2649271269839861E-2</v>
      </c>
      <c r="E200">
        <v>-1.060282516396871E-2</v>
      </c>
      <c r="F200">
        <v>4.1970102530152882E-2</v>
      </c>
      <c r="G200">
        <v>8.1360740606882587E-2</v>
      </c>
      <c r="H200">
        <v>0.1122641987260051</v>
      </c>
      <c r="I200">
        <v>9.1254459121346443E-2</v>
      </c>
      <c r="J200">
        <v>4.4909175425499097E-2</v>
      </c>
      <c r="K200">
        <v>-2.6317509772322278E-2</v>
      </c>
      <c r="L200">
        <v>2.5540589982295359E-2</v>
      </c>
      <c r="M200">
        <v>-4.0875791637242642E-3</v>
      </c>
    </row>
    <row r="201" spans="1:13" x14ac:dyDescent="0.35">
      <c r="A201" s="1">
        <v>44104</v>
      </c>
      <c r="B201">
        <v>-3.8737881332872703E-2</v>
      </c>
      <c r="C201">
        <v>2.511814976584148E-3</v>
      </c>
      <c r="D201">
        <v>1.4963721383504771E-2</v>
      </c>
      <c r="E201">
        <v>-0.15790177069545969</v>
      </c>
      <c r="F201">
        <v>-3.4821829938693323E-2</v>
      </c>
      <c r="G201">
        <v>-6.8450538987550047E-3</v>
      </c>
      <c r="H201">
        <v>-5.4826926437566037E-2</v>
      </c>
      <c r="I201">
        <v>-1.8810138608578161E-2</v>
      </c>
      <c r="J201">
        <v>-1.688951986133258E-2</v>
      </c>
      <c r="K201">
        <v>1.0755299635222929E-2</v>
      </c>
      <c r="L201">
        <v>-2.204574852372598E-2</v>
      </c>
      <c r="M201">
        <v>-4.2553427877792593E-2</v>
      </c>
    </row>
    <row r="202" spans="1:13" x14ac:dyDescent="0.35">
      <c r="A202" s="1">
        <v>44135</v>
      </c>
      <c r="B202">
        <v>-2.6952661597938739E-2</v>
      </c>
      <c r="C202">
        <v>-1.307968072688581E-2</v>
      </c>
      <c r="D202">
        <v>-7.2543437146586074E-3</v>
      </c>
      <c r="E202">
        <v>-4.1935595935458807E-2</v>
      </c>
      <c r="F202">
        <v>-8.762764468843276E-3</v>
      </c>
      <c r="G202">
        <v>-1.4524302637670241E-2</v>
      </c>
      <c r="H202">
        <v>-5.1338415325621778E-2</v>
      </c>
      <c r="I202">
        <v>-2.7661619571904161E-2</v>
      </c>
      <c r="J202">
        <v>-2.912522853730071E-2</v>
      </c>
      <c r="K202">
        <v>4.928717147550099E-2</v>
      </c>
      <c r="L202">
        <v>-3.6887804330146601E-2</v>
      </c>
      <c r="M202">
        <v>-3.7241418688909178E-3</v>
      </c>
    </row>
    <row r="203" spans="1:13" x14ac:dyDescent="0.35">
      <c r="A203" s="1">
        <v>44165</v>
      </c>
      <c r="B203">
        <v>0.1038767088306347</v>
      </c>
      <c r="C203">
        <v>2.6843692789917379E-3</v>
      </c>
      <c r="D203">
        <v>0.11655114810835961</v>
      </c>
      <c r="E203">
        <v>0.24681665318397711</v>
      </c>
      <c r="F203">
        <v>0.15570614287632839</v>
      </c>
      <c r="G203">
        <v>0.14865598396536139</v>
      </c>
      <c r="H203">
        <v>0.1078110305171891</v>
      </c>
      <c r="I203">
        <v>9.5265684466725453E-2</v>
      </c>
      <c r="J203">
        <v>7.2029389667097377E-2</v>
      </c>
      <c r="K203">
        <v>7.3471939506326578E-3</v>
      </c>
      <c r="L203">
        <v>7.6479924582312897E-2</v>
      </c>
      <c r="M203">
        <v>-5.5740186236264748E-2</v>
      </c>
    </row>
    <row r="204" spans="1:13" x14ac:dyDescent="0.35">
      <c r="A204" s="1">
        <v>44196</v>
      </c>
      <c r="B204">
        <v>3.7727841671244988E-2</v>
      </c>
      <c r="C204">
        <v>-2.812376301266184E-3</v>
      </c>
      <c r="D204">
        <v>2.4513018375114101E-2</v>
      </c>
      <c r="E204">
        <v>4.3826775375379157E-2</v>
      </c>
      <c r="F204">
        <v>6.1151920470846832E-2</v>
      </c>
      <c r="G204">
        <v>1.0018376970949211E-2</v>
      </c>
      <c r="H204">
        <v>5.3935151812544817E-2</v>
      </c>
      <c r="I204">
        <v>2.3988151788194578E-2</v>
      </c>
      <c r="J204">
        <v>1.637526648975474E-2</v>
      </c>
      <c r="K204">
        <v>6.1850896779991338E-3</v>
      </c>
      <c r="L204">
        <v>3.7274907721672967E-2</v>
      </c>
      <c r="M204">
        <v>6.6091944075800768E-2</v>
      </c>
    </row>
    <row r="205" spans="1:13" x14ac:dyDescent="0.35">
      <c r="A205" s="1">
        <v>44227</v>
      </c>
      <c r="B205">
        <v>-1.0147561969899851E-2</v>
      </c>
      <c r="C205">
        <v>-1.088546190414519E-2</v>
      </c>
      <c r="D205">
        <v>-2.4471198313293471E-2</v>
      </c>
      <c r="E205">
        <v>3.6781860234442298E-2</v>
      </c>
      <c r="F205">
        <v>-1.8141745154899969E-2</v>
      </c>
      <c r="G205">
        <v>-4.3625859243106468E-2</v>
      </c>
      <c r="H205">
        <v>-8.4183899970744491E-3</v>
      </c>
      <c r="I205">
        <v>7.6214826650247147E-3</v>
      </c>
      <c r="J205">
        <v>-5.1098321073787638E-2</v>
      </c>
      <c r="K205">
        <v>-8.8105810664598216E-3</v>
      </c>
      <c r="L205">
        <v>1.3918931062126379E-2</v>
      </c>
      <c r="M205">
        <v>-2.7075794199578951E-2</v>
      </c>
    </row>
    <row r="206" spans="1:13" x14ac:dyDescent="0.35">
      <c r="A206" s="1">
        <v>44255</v>
      </c>
      <c r="B206">
        <v>2.7201207481773789E-2</v>
      </c>
      <c r="C206">
        <v>-2.3684136082715131E-2</v>
      </c>
      <c r="D206">
        <v>4.0368818701516762E-2</v>
      </c>
      <c r="E206">
        <v>0.2025877847440074</v>
      </c>
      <c r="F206">
        <v>0.1098066870352188</v>
      </c>
      <c r="G206">
        <v>6.662293650511053E-2</v>
      </c>
      <c r="H206">
        <v>1.3558648823081221E-2</v>
      </c>
      <c r="I206">
        <v>-5.322551740712278E-3</v>
      </c>
      <c r="J206">
        <v>-1.240280496455259E-2</v>
      </c>
      <c r="K206">
        <v>-6.2920096731772901E-2</v>
      </c>
      <c r="L206">
        <v>-2.1262378729946189E-2</v>
      </c>
      <c r="M206">
        <v>-6.346061519976498E-2</v>
      </c>
    </row>
    <row r="207" spans="1:13" x14ac:dyDescent="0.35">
      <c r="A207" s="1">
        <v>44286</v>
      </c>
      <c r="B207">
        <v>4.2863691885925093E-2</v>
      </c>
      <c r="C207">
        <v>-2.4549692640917439E-2</v>
      </c>
      <c r="D207">
        <v>7.316133758996779E-2</v>
      </c>
      <c r="E207">
        <v>2.9277384361821032E-2</v>
      </c>
      <c r="F207">
        <v>5.6875354009078727E-2</v>
      </c>
      <c r="G207">
        <v>8.6057260238761479E-2</v>
      </c>
      <c r="H207">
        <v>1.819985461375051E-2</v>
      </c>
      <c r="I207">
        <v>4.3632116292896761E-2</v>
      </c>
      <c r="J207">
        <v>8.1563386596656962E-2</v>
      </c>
      <c r="K207">
        <v>0.10031640593368429</v>
      </c>
      <c r="L207">
        <v>3.9483370484413527E-2</v>
      </c>
      <c r="M207">
        <v>-1.530065441964723E-2</v>
      </c>
    </row>
    <row r="208" spans="1:13" x14ac:dyDescent="0.35">
      <c r="A208" s="1">
        <v>44316</v>
      </c>
      <c r="B208">
        <v>5.1993624855494858E-2</v>
      </c>
      <c r="C208">
        <v>1.0038306756279701E-2</v>
      </c>
      <c r="D208">
        <v>5.240939349369178E-2</v>
      </c>
      <c r="E208">
        <v>6.7037877166624682E-3</v>
      </c>
      <c r="F208">
        <v>6.2885213789779293E-2</v>
      </c>
      <c r="G208">
        <v>3.4737437624730923E-2</v>
      </c>
      <c r="H208">
        <v>5.0577804818078498E-2</v>
      </c>
      <c r="I208">
        <v>6.2558425332676748E-2</v>
      </c>
      <c r="J208">
        <v>1.8421230324839218E-2</v>
      </c>
      <c r="K208">
        <v>4.0996827065918229E-2</v>
      </c>
      <c r="L208">
        <v>3.856498999743696E-2</v>
      </c>
      <c r="M208">
        <v>3.5334608600400053E-2</v>
      </c>
    </row>
    <row r="209" spans="1:13" x14ac:dyDescent="0.35">
      <c r="A209" s="1">
        <v>44347</v>
      </c>
      <c r="B209">
        <v>6.9598512188715489E-3</v>
      </c>
      <c r="C209">
        <v>6.127704823634339E-3</v>
      </c>
      <c r="D209">
        <v>4.9569508464852863E-2</v>
      </c>
      <c r="E209">
        <v>5.5526234137814427E-2</v>
      </c>
      <c r="F209">
        <v>4.6607773082129711E-2</v>
      </c>
      <c r="G209">
        <v>3.0816369349103031E-2</v>
      </c>
      <c r="H209">
        <v>-9.3493791085776934E-3</v>
      </c>
      <c r="I209">
        <v>-3.4572809861447951E-2</v>
      </c>
      <c r="J209">
        <v>1.752265452755708E-2</v>
      </c>
      <c r="K209">
        <v>-2.3659123716035069E-2</v>
      </c>
      <c r="L209">
        <v>1.8536416870428951E-2</v>
      </c>
      <c r="M209">
        <v>7.4975254070452024E-2</v>
      </c>
    </row>
    <row r="210" spans="1:13" x14ac:dyDescent="0.35">
      <c r="A210" s="1">
        <v>44377</v>
      </c>
      <c r="B210">
        <v>2.307713953378077E-2</v>
      </c>
      <c r="C210">
        <v>8.5540468746758691E-3</v>
      </c>
      <c r="D210">
        <v>-5.406740909438934E-2</v>
      </c>
      <c r="E210">
        <v>4.1467703735780237E-2</v>
      </c>
      <c r="F210">
        <v>-3.086532919957952E-2</v>
      </c>
      <c r="G210">
        <v>-2.3058599022610871E-2</v>
      </c>
      <c r="H210">
        <v>6.6595720215813614E-2</v>
      </c>
      <c r="I210">
        <v>3.3984987121761463E-2</v>
      </c>
      <c r="J210">
        <v>-5.4590217476793157E-3</v>
      </c>
      <c r="K210">
        <v>-2.2330236959885671E-2</v>
      </c>
      <c r="L210">
        <v>2.272914786813196E-2</v>
      </c>
      <c r="M210">
        <v>-7.4421462846886222E-2</v>
      </c>
    </row>
    <row r="211" spans="1:13" x14ac:dyDescent="0.35">
      <c r="A211" s="1">
        <v>44408</v>
      </c>
      <c r="B211">
        <v>2.3476578489997731E-2</v>
      </c>
      <c r="C211">
        <v>1.986497615588334E-2</v>
      </c>
      <c r="D211">
        <v>2.056223906092125E-2</v>
      </c>
      <c r="E211">
        <v>-8.6825909969513226E-2</v>
      </c>
      <c r="F211">
        <v>-4.644343646995619E-3</v>
      </c>
      <c r="G211">
        <v>9.3313179990639483E-3</v>
      </c>
      <c r="H211">
        <v>3.8136852547853373E-2</v>
      </c>
      <c r="I211">
        <v>1.0474303089710981E-2</v>
      </c>
      <c r="J211">
        <v>2.1770650729182609E-2</v>
      </c>
      <c r="K211">
        <v>4.2421205658342398E-2</v>
      </c>
      <c r="L211">
        <v>4.8052489762041788E-2</v>
      </c>
      <c r="M211">
        <v>2.4597395564723179E-2</v>
      </c>
    </row>
    <row r="212" spans="1:13" x14ac:dyDescent="0.35">
      <c r="A212" s="1">
        <v>44439</v>
      </c>
      <c r="B212">
        <v>2.9952560448908368E-2</v>
      </c>
      <c r="C212">
        <v>-3.9974395281117134E-3</v>
      </c>
      <c r="D212">
        <v>1.8747561094990321E-2</v>
      </c>
      <c r="E212">
        <v>-2.0248098519706659E-2</v>
      </c>
      <c r="F212">
        <v>5.0197561960482417E-2</v>
      </c>
      <c r="G212">
        <v>1.106471523057095E-2</v>
      </c>
      <c r="H212">
        <v>3.4974213772514418E-2</v>
      </c>
      <c r="I212">
        <v>1.7688659052797821E-2</v>
      </c>
      <c r="J212">
        <v>1.0433584294526449E-2</v>
      </c>
      <c r="K212">
        <v>3.8217476893005031E-2</v>
      </c>
      <c r="L212">
        <v>2.2891637525915162E-2</v>
      </c>
      <c r="M212">
        <v>-3.1423917167128218E-4</v>
      </c>
    </row>
    <row r="213" spans="1:13" x14ac:dyDescent="0.35">
      <c r="A213" s="1">
        <v>44469</v>
      </c>
      <c r="B213">
        <v>-4.7625695809800923E-2</v>
      </c>
      <c r="C213">
        <v>-1.6018971473219071E-2</v>
      </c>
      <c r="D213">
        <v>-7.4601010309856441E-2</v>
      </c>
      <c r="E213">
        <v>8.5549147469690112E-2</v>
      </c>
      <c r="F213">
        <v>-1.8596994231534051E-2</v>
      </c>
      <c r="G213">
        <v>-6.2724741703198639E-2</v>
      </c>
      <c r="H213">
        <v>-6.0174051598991703E-2</v>
      </c>
      <c r="I213">
        <v>-2.164016527097257E-2</v>
      </c>
      <c r="J213">
        <v>-4.2272769266281429E-2</v>
      </c>
      <c r="K213">
        <v>-6.2867832318256767E-2</v>
      </c>
      <c r="L213">
        <v>-5.6765106474678362E-2</v>
      </c>
      <c r="M213">
        <v>-3.1745496738550649E-2</v>
      </c>
    </row>
    <row r="214" spans="1:13" x14ac:dyDescent="0.35">
      <c r="A214" s="1">
        <v>44500</v>
      </c>
      <c r="B214">
        <v>6.7715932871671214E-2</v>
      </c>
      <c r="C214">
        <v>-4.439645291017591E-3</v>
      </c>
      <c r="D214">
        <v>7.3222622485314304E-2</v>
      </c>
      <c r="E214">
        <v>9.8290035819234678E-2</v>
      </c>
      <c r="F214">
        <v>7.0218069977618036E-2</v>
      </c>
      <c r="G214">
        <v>6.5757801008964556E-2</v>
      </c>
      <c r="H214">
        <v>7.8598990110132938E-2</v>
      </c>
      <c r="I214">
        <v>0.11415421425572971</v>
      </c>
      <c r="J214">
        <v>3.4409896849870059E-2</v>
      </c>
      <c r="K214">
        <v>4.6342218068168961E-2</v>
      </c>
      <c r="L214">
        <v>4.9949120530804691E-2</v>
      </c>
      <c r="M214">
        <v>1.521141611960708E-2</v>
      </c>
    </row>
    <row r="215" spans="1:13" x14ac:dyDescent="0.35">
      <c r="A215" s="1">
        <v>44530</v>
      </c>
      <c r="B215">
        <v>-6.9528756076380196E-3</v>
      </c>
      <c r="C215">
        <v>1.085548795783353E-2</v>
      </c>
      <c r="D215">
        <v>-5.5366769265461357E-3</v>
      </c>
      <c r="E215">
        <v>-5.1412559708821082E-2</v>
      </c>
      <c r="F215">
        <v>-5.8825394612629811E-2</v>
      </c>
      <c r="G215">
        <v>-3.6250448565533937E-2</v>
      </c>
      <c r="H215">
        <v>4.3549852087664043E-2</v>
      </c>
      <c r="I215">
        <v>1.6223641148982001E-2</v>
      </c>
      <c r="J215">
        <v>-1.356523673121934E-2</v>
      </c>
      <c r="K215">
        <v>-1.7184868585023771E-2</v>
      </c>
      <c r="L215">
        <v>-3.1040365986235049E-2</v>
      </c>
      <c r="M215">
        <v>-5.2608035000627504E-3</v>
      </c>
    </row>
    <row r="216" spans="1:13" x14ac:dyDescent="0.35">
      <c r="A216" s="1">
        <v>44561</v>
      </c>
      <c r="B216">
        <v>4.3841193531381613E-2</v>
      </c>
      <c r="C216">
        <v>-3.070694260433271E-3</v>
      </c>
      <c r="D216">
        <v>7.3094417019467617E-2</v>
      </c>
      <c r="E216">
        <v>2.939778017931571E-2</v>
      </c>
      <c r="F216">
        <v>3.3089208064202243E-2</v>
      </c>
      <c r="G216">
        <v>5.2569660438727787E-2</v>
      </c>
      <c r="H216">
        <v>3.195734660376548E-2</v>
      </c>
      <c r="I216">
        <v>1.4961772599821901E-3</v>
      </c>
      <c r="J216">
        <v>9.9435229640758571E-2</v>
      </c>
      <c r="K216">
        <v>9.2481697955245856E-2</v>
      </c>
      <c r="L216">
        <v>8.6359849901434416E-2</v>
      </c>
      <c r="M216">
        <v>3.034874898036222E-2</v>
      </c>
    </row>
    <row r="217" spans="1:13" x14ac:dyDescent="0.35">
      <c r="A217" s="1">
        <v>44592</v>
      </c>
      <c r="B217">
        <v>-5.3133776133485362E-2</v>
      </c>
      <c r="C217">
        <v>-2.380905745426443E-2</v>
      </c>
      <c r="D217">
        <v>-7.0404692195874308E-2</v>
      </c>
      <c r="E217">
        <v>0.1720585152307601</v>
      </c>
      <c r="F217">
        <v>2.560217453648761E-4</v>
      </c>
      <c r="G217">
        <v>-4.910206103416126E-2</v>
      </c>
      <c r="H217">
        <v>-7.0896846094787414E-2</v>
      </c>
      <c r="I217">
        <v>-0.1001889846831583</v>
      </c>
      <c r="J217">
        <v>-1.4894384869294621E-2</v>
      </c>
      <c r="K217">
        <v>-3.3092742672610857E-2</v>
      </c>
      <c r="L217">
        <v>-7.1027951519985422E-2</v>
      </c>
      <c r="M217">
        <v>-1.7665507360203669E-2</v>
      </c>
    </row>
    <row r="218" spans="1:13" x14ac:dyDescent="0.35">
      <c r="A218" s="1">
        <v>44620</v>
      </c>
      <c r="B218">
        <v>-3.0399574648763309E-2</v>
      </c>
      <c r="C218">
        <v>-3.2707912920493238E-3</v>
      </c>
      <c r="D218">
        <v>-1.275160301861122E-2</v>
      </c>
      <c r="E218">
        <v>6.8305222742814475E-2</v>
      </c>
      <c r="F218">
        <v>-1.39211173622753E-2</v>
      </c>
      <c r="G218">
        <v>-8.4735617770421712E-3</v>
      </c>
      <c r="H218">
        <v>-5.0003906389203052E-2</v>
      </c>
      <c r="I218">
        <v>-4.1509209564205563E-2</v>
      </c>
      <c r="J218">
        <v>-1.4184591661662079E-2</v>
      </c>
      <c r="K218">
        <v>-1.9245377538540161E-2</v>
      </c>
      <c r="L218">
        <v>-9.7247540662133147E-3</v>
      </c>
      <c r="M218">
        <v>6.036110094364755E-2</v>
      </c>
    </row>
    <row r="219" spans="1:13" x14ac:dyDescent="0.35">
      <c r="A219" s="1">
        <v>44651</v>
      </c>
      <c r="B219">
        <v>3.6457274749880142E-2</v>
      </c>
      <c r="C219">
        <v>-4.131887087492192E-2</v>
      </c>
      <c r="D219">
        <v>5.938999794944344E-2</v>
      </c>
      <c r="E219">
        <v>8.9279180227519017E-2</v>
      </c>
      <c r="F219">
        <v>-1.3008664280409481E-3</v>
      </c>
      <c r="G219">
        <v>3.3786493096597432E-2</v>
      </c>
      <c r="H219">
        <v>3.2902590487380763E-2</v>
      </c>
      <c r="I219">
        <v>4.3314933277860852E-2</v>
      </c>
      <c r="J219">
        <v>1.76566477948823E-2</v>
      </c>
      <c r="K219">
        <v>9.8443753367153164E-2</v>
      </c>
      <c r="L219">
        <v>5.5795566734760271E-2</v>
      </c>
      <c r="M219">
        <v>1.47932076387125E-2</v>
      </c>
    </row>
    <row r="220" spans="1:13" x14ac:dyDescent="0.35">
      <c r="A220" s="1">
        <v>44681</v>
      </c>
      <c r="B220">
        <v>-9.1240212331614501E-2</v>
      </c>
      <c r="C220">
        <v>-4.2741460153499673E-2</v>
      </c>
      <c r="D220">
        <v>-3.60357125812798E-2</v>
      </c>
      <c r="E220">
        <v>-1.701994478110436E-2</v>
      </c>
      <c r="F220">
        <v>-0.1047228073286255</v>
      </c>
      <c r="G220">
        <v>-7.918514145054445E-2</v>
      </c>
      <c r="H220">
        <v>-0.116729535460089</v>
      </c>
      <c r="I220">
        <v>-0.12734244050595309</v>
      </c>
      <c r="J220">
        <v>2.2797732164650419E-2</v>
      </c>
      <c r="K220">
        <v>-4.3926753528305877E-2</v>
      </c>
      <c r="L220">
        <v>-5.0145235688392908E-2</v>
      </c>
      <c r="M220">
        <v>-2.1130724120880909E-2</v>
      </c>
    </row>
    <row r="221" spans="1:13" x14ac:dyDescent="0.35">
      <c r="A221" s="1">
        <v>44712</v>
      </c>
      <c r="B221">
        <v>1.832269995787783E-3</v>
      </c>
      <c r="C221">
        <v>6.8922315278499013E-3</v>
      </c>
      <c r="D221">
        <v>1.169205055191691E-2</v>
      </c>
      <c r="E221">
        <v>0.14871817851524399</v>
      </c>
      <c r="F221">
        <v>2.7438551718144129E-2</v>
      </c>
      <c r="G221">
        <v>-4.6354288336747373E-3</v>
      </c>
      <c r="H221">
        <v>-6.8826694595500726E-3</v>
      </c>
      <c r="I221">
        <v>-5.2560502770229611E-2</v>
      </c>
      <c r="J221">
        <v>-4.1686288491900043E-2</v>
      </c>
      <c r="K221">
        <v>4.2179366993571048E-2</v>
      </c>
      <c r="L221">
        <v>1.4780242733966281E-2</v>
      </c>
      <c r="M221">
        <v>-3.1912473783371809E-2</v>
      </c>
    </row>
    <row r="222" spans="1:13" x14ac:dyDescent="0.35">
      <c r="A222" s="1">
        <v>44742</v>
      </c>
      <c r="B222">
        <v>-8.6150232688090966E-2</v>
      </c>
      <c r="C222">
        <v>-9.8062695296992075E-3</v>
      </c>
      <c r="D222">
        <v>-0.1491533916686674</v>
      </c>
      <c r="E222">
        <v>-0.18721517803461701</v>
      </c>
      <c r="F222">
        <v>-0.1149720308246351</v>
      </c>
      <c r="G222">
        <v>-7.6524658972546789E-2</v>
      </c>
      <c r="H222">
        <v>-9.712455138064513E-2</v>
      </c>
      <c r="I222">
        <v>-0.1146647664152969</v>
      </c>
      <c r="J222">
        <v>-2.3752345694226129E-2</v>
      </c>
      <c r="K222">
        <v>-5.0193088416894849E-2</v>
      </c>
      <c r="L222">
        <v>-2.6426526321634999E-2</v>
      </c>
      <c r="M222">
        <v>-1.6506896745074329E-2</v>
      </c>
    </row>
    <row r="223" spans="1:13" x14ac:dyDescent="0.35">
      <c r="A223" s="1">
        <v>44773</v>
      </c>
      <c r="B223">
        <v>8.8198079596164547E-2</v>
      </c>
      <c r="C223">
        <v>3.0181931693243239E-2</v>
      </c>
      <c r="D223">
        <v>5.9729040549907797E-2</v>
      </c>
      <c r="E223">
        <v>9.2241651355929211E-2</v>
      </c>
      <c r="F223">
        <v>6.939541297284002E-2</v>
      </c>
      <c r="G223">
        <v>9.0782542731174587E-2</v>
      </c>
      <c r="H223">
        <v>0.12620830241188499</v>
      </c>
      <c r="I223">
        <v>0.16922823472373241</v>
      </c>
      <c r="J223">
        <v>3.1502020572501621E-2</v>
      </c>
      <c r="K223">
        <v>5.3038487289567733E-2</v>
      </c>
      <c r="L223">
        <v>3.1924098792703859E-2</v>
      </c>
      <c r="M223">
        <v>-2.3134292854928521E-2</v>
      </c>
    </row>
    <row r="224" spans="1:13" x14ac:dyDescent="0.35">
      <c r="A224" s="1">
        <v>44804</v>
      </c>
      <c r="B224">
        <v>-4.1636243603557332E-2</v>
      </c>
      <c r="C224">
        <v>-3.9039347899166188E-2</v>
      </c>
      <c r="D224">
        <v>-3.5434022440898438E-2</v>
      </c>
      <c r="E224">
        <v>2.6178163623766348E-2</v>
      </c>
      <c r="F224">
        <v>-1.9772889441763471E-2</v>
      </c>
      <c r="G224">
        <v>-2.8744540111900641E-2</v>
      </c>
      <c r="H224">
        <v>-6.4141173470604329E-2</v>
      </c>
      <c r="I224">
        <v>-4.599669748700741E-2</v>
      </c>
      <c r="J224">
        <v>-1.869989488140433E-2</v>
      </c>
      <c r="K224">
        <v>5.2598383740218857E-3</v>
      </c>
      <c r="L224">
        <v>-5.9435770613135652E-2</v>
      </c>
      <c r="M224">
        <v>-3.1581753741433793E-2</v>
      </c>
    </row>
    <row r="225" spans="1:13" x14ac:dyDescent="0.35">
      <c r="A225" s="1">
        <v>44834</v>
      </c>
      <c r="B225">
        <v>-9.6620474409952806E-2</v>
      </c>
      <c r="C225">
        <v>-4.8029855039967373E-2</v>
      </c>
      <c r="D225">
        <v>-9.7645136016240919E-2</v>
      </c>
      <c r="E225">
        <v>-0.10046915495640101</v>
      </c>
      <c r="F225">
        <v>-7.9648895519879304E-2</v>
      </c>
      <c r="G225">
        <v>-0.110160106031338</v>
      </c>
      <c r="H225">
        <v>-0.1274597670499249</v>
      </c>
      <c r="I225">
        <v>-8.5627464113714247E-2</v>
      </c>
      <c r="J225">
        <v>-8.4826525805905106E-2</v>
      </c>
      <c r="K225">
        <v>-0.1196959825350814</v>
      </c>
      <c r="L225">
        <v>-2.5714640142943779E-2</v>
      </c>
      <c r="M225">
        <v>-2.9916368030781019E-2</v>
      </c>
    </row>
    <row r="226" spans="1:13" x14ac:dyDescent="0.35">
      <c r="A226" s="1">
        <v>44865</v>
      </c>
      <c r="B226">
        <v>7.7850731631064818E-2</v>
      </c>
      <c r="C226">
        <v>-1.4316394713584479E-2</v>
      </c>
      <c r="D226">
        <v>8.5490697270811822E-2</v>
      </c>
      <c r="E226">
        <v>0.22286564265280789</v>
      </c>
      <c r="F226">
        <v>0.11264627671309541</v>
      </c>
      <c r="G226">
        <v>0.13010018535870321</v>
      </c>
      <c r="H226">
        <v>7.3741058086890909E-2</v>
      </c>
      <c r="I226">
        <v>1.103059111698901E-2</v>
      </c>
      <c r="J226">
        <v>8.6236590678451464E-2</v>
      </c>
      <c r="K226">
        <v>1.9200721878319889E-2</v>
      </c>
      <c r="L226">
        <v>9.1768534225042941E-2</v>
      </c>
      <c r="M226">
        <v>-1.642332241720457E-2</v>
      </c>
    </row>
    <row r="227" spans="1:13" x14ac:dyDescent="0.35">
      <c r="A227" s="1">
        <v>44895</v>
      </c>
      <c r="B227">
        <v>5.4379017902414617E-2</v>
      </c>
      <c r="C227">
        <v>3.5227556500021073E-2</v>
      </c>
      <c r="D227">
        <v>0.1106785503041068</v>
      </c>
      <c r="E227">
        <v>1.2696760645038999E-2</v>
      </c>
      <c r="F227">
        <v>6.6320775896306028E-2</v>
      </c>
      <c r="G227">
        <v>7.5212715993107082E-2</v>
      </c>
      <c r="H227">
        <v>6.1346577499025827E-2</v>
      </c>
      <c r="I227">
        <v>1.474893949804024E-2</v>
      </c>
      <c r="J227">
        <v>5.9378671124131983E-2</v>
      </c>
      <c r="K227">
        <v>6.7314425497748687E-2</v>
      </c>
      <c r="L227">
        <v>4.6150096242445038E-2</v>
      </c>
      <c r="M227">
        <v>7.9381356288149796E-2</v>
      </c>
    </row>
    <row r="228" spans="1:13" x14ac:dyDescent="0.35">
      <c r="A228" s="1">
        <v>44926</v>
      </c>
      <c r="B228">
        <v>-5.9341017462719137E-2</v>
      </c>
      <c r="C228">
        <v>-1.122083969257393E-2</v>
      </c>
      <c r="D228">
        <v>-5.6769186020436457E-2</v>
      </c>
      <c r="E228">
        <v>-3.0963958711018869E-2</v>
      </c>
      <c r="F228">
        <v>-5.3616558658521107E-2</v>
      </c>
      <c r="G228">
        <v>-3.035443183680453E-2</v>
      </c>
      <c r="H228">
        <v>-8.5669750049726545E-2</v>
      </c>
      <c r="I228">
        <v>-0.1209816107144919</v>
      </c>
      <c r="J228">
        <v>-2.765437256174685E-2</v>
      </c>
      <c r="K228">
        <v>-4.9564781105928546E-3</v>
      </c>
      <c r="L228">
        <v>-1.8955623162628221E-2</v>
      </c>
      <c r="M228">
        <v>3.089981788591167E-2</v>
      </c>
    </row>
    <row r="229" spans="1:13" x14ac:dyDescent="0.35">
      <c r="A229" s="1">
        <v>44957</v>
      </c>
      <c r="B229">
        <v>6.0939173104594957E-2</v>
      </c>
      <c r="C229">
        <v>3.1359972198412578E-2</v>
      </c>
      <c r="D229">
        <v>8.5927368303298834E-2</v>
      </c>
      <c r="E229">
        <v>2.773594974114468E-2</v>
      </c>
      <c r="F229">
        <v>6.6729266126670073E-2</v>
      </c>
      <c r="G229">
        <v>3.6393211013650451E-2</v>
      </c>
      <c r="H229">
        <v>8.8536855247072666E-2</v>
      </c>
      <c r="I229">
        <v>0.14087878868062381</v>
      </c>
      <c r="J229">
        <v>-1.092490774455079E-2</v>
      </c>
      <c r="K229">
        <v>-2.0202715853493199E-2</v>
      </c>
      <c r="L229">
        <v>-1.8499132841237831E-2</v>
      </c>
      <c r="M229">
        <v>5.5627044245367678E-2</v>
      </c>
    </row>
    <row r="230" spans="1:13" x14ac:dyDescent="0.35">
      <c r="A230" s="1">
        <v>44985</v>
      </c>
      <c r="B230">
        <v>-2.4702401430689139E-2</v>
      </c>
      <c r="C230">
        <v>-3.277979673367426E-2</v>
      </c>
      <c r="D230">
        <v>-3.3881056604982529E-2</v>
      </c>
      <c r="E230">
        <v>-7.1912117422276101E-2</v>
      </c>
      <c r="F230">
        <v>-2.32441341606302E-2</v>
      </c>
      <c r="G230">
        <v>-8.6776465354896359E-3</v>
      </c>
      <c r="H230">
        <v>4.1104603445756283E-3</v>
      </c>
      <c r="I230">
        <v>-2.1479900287607379E-2</v>
      </c>
      <c r="J230">
        <v>-2.3462593314477861E-2</v>
      </c>
      <c r="K230">
        <v>-6.1022721311316808E-2</v>
      </c>
      <c r="L230">
        <v>-4.7527495135986968E-2</v>
      </c>
      <c r="M230">
        <v>-5.4038411942504361E-2</v>
      </c>
    </row>
    <row r="231" spans="1:13" x14ac:dyDescent="0.35">
      <c r="A231" s="1">
        <v>45016</v>
      </c>
      <c r="B231">
        <v>3.6056403693370598E-2</v>
      </c>
      <c r="C231">
        <v>3.6104374840072673E-2</v>
      </c>
      <c r="D231">
        <v>-1.006117906921977E-2</v>
      </c>
      <c r="E231">
        <v>5.3075182118167419E-5</v>
      </c>
      <c r="F231">
        <v>-0.1003471903055706</v>
      </c>
      <c r="G231">
        <v>6.1718723266794839E-3</v>
      </c>
      <c r="H231">
        <v>0.10307987502061521</v>
      </c>
      <c r="I231">
        <v>3.015976671853338E-2</v>
      </c>
      <c r="J231">
        <v>4.1327080863133858E-2</v>
      </c>
      <c r="K231">
        <v>4.7894873570783592E-2</v>
      </c>
      <c r="L231">
        <v>2.1740141855966399E-2</v>
      </c>
      <c r="M231">
        <v>7.5036504904315571E-2</v>
      </c>
    </row>
    <row r="232" spans="1:13" x14ac:dyDescent="0.35">
      <c r="A232" s="1">
        <v>45046</v>
      </c>
      <c r="B232">
        <v>1.548831834771569E-2</v>
      </c>
      <c r="C232">
        <v>8.5712982910095548E-3</v>
      </c>
      <c r="D232">
        <v>-1.364641252154186E-3</v>
      </c>
      <c r="E232">
        <v>2.738933948738342E-2</v>
      </c>
      <c r="F232">
        <v>3.123305400311072E-2</v>
      </c>
      <c r="G232">
        <v>-1.173081523919794E-2</v>
      </c>
      <c r="H232">
        <v>-1.1921066803450839E-3</v>
      </c>
      <c r="I232">
        <v>-1.1297771686121999E-2</v>
      </c>
      <c r="J232">
        <v>3.5889613007285881E-2</v>
      </c>
      <c r="K232">
        <v>1.8878368565858668E-2</v>
      </c>
      <c r="L232">
        <v>3.095411594743069E-2</v>
      </c>
      <c r="M232">
        <v>1.0466645024916231E-2</v>
      </c>
    </row>
    <row r="233" spans="1:13" x14ac:dyDescent="0.35">
      <c r="A233" s="1">
        <v>45077</v>
      </c>
      <c r="B233">
        <v>4.3374688098367642E-3</v>
      </c>
      <c r="C233">
        <v>-1.4585062119570219E-2</v>
      </c>
      <c r="D233">
        <v>-7.1123604039810662E-2</v>
      </c>
      <c r="E233">
        <v>-0.10571310101675339</v>
      </c>
      <c r="F233">
        <v>-4.3437962829206089E-2</v>
      </c>
      <c r="G233">
        <v>-3.2006898080378932E-2</v>
      </c>
      <c r="H233">
        <v>8.5418644462918358E-2</v>
      </c>
      <c r="I233">
        <v>2.5045540522890871E-2</v>
      </c>
      <c r="J233">
        <v>-6.3574871069111083E-2</v>
      </c>
      <c r="K233">
        <v>-6.0507083381489142E-2</v>
      </c>
      <c r="L233">
        <v>-4.362485982234876E-2</v>
      </c>
      <c r="M233">
        <v>-1.379827747683038E-2</v>
      </c>
    </row>
    <row r="234" spans="1:13" x14ac:dyDescent="0.35">
      <c r="A234" s="1">
        <v>45107</v>
      </c>
      <c r="B234">
        <v>6.3984167028447558E-2</v>
      </c>
      <c r="C234">
        <v>-1.2638775607603851E-2</v>
      </c>
      <c r="D234">
        <v>0.1044111760815967</v>
      </c>
      <c r="E234">
        <v>6.6848623625659354E-2</v>
      </c>
      <c r="F234">
        <v>6.4063684532531973E-2</v>
      </c>
      <c r="G234">
        <v>0.1066426060045593</v>
      </c>
      <c r="H234">
        <v>5.8770555766769483E-2</v>
      </c>
      <c r="I234">
        <v>0.1153779895557836</v>
      </c>
      <c r="J234">
        <v>2.7500301624412419E-2</v>
      </c>
      <c r="K234">
        <v>1.5835317245264768E-2</v>
      </c>
      <c r="L234">
        <v>4.1723428763765107E-2</v>
      </c>
      <c r="M234">
        <v>-2.2349774204713849E-2</v>
      </c>
    </row>
    <row r="235" spans="1:13" x14ac:dyDescent="0.35">
      <c r="A235" s="1">
        <v>45138</v>
      </c>
      <c r="B235">
        <v>3.1619298605370723E-2</v>
      </c>
      <c r="C235">
        <v>-6.1712380728655702E-3</v>
      </c>
      <c r="D235">
        <v>3.3813091756324631E-2</v>
      </c>
      <c r="E235">
        <v>7.4864667136972152E-2</v>
      </c>
      <c r="F235">
        <v>4.6938078951932923E-2</v>
      </c>
      <c r="G235">
        <v>2.8476204450745609E-2</v>
      </c>
      <c r="H235">
        <v>2.5497544491698498E-2</v>
      </c>
      <c r="I235">
        <v>2.2879863516919841E-2</v>
      </c>
      <c r="J235">
        <v>2.1078818724214798E-2</v>
      </c>
      <c r="K235">
        <v>2.4602927163106969E-2</v>
      </c>
      <c r="L235">
        <v>1.0641865262055459E-2</v>
      </c>
      <c r="M235">
        <v>1.896099576917543E-2</v>
      </c>
    </row>
    <row r="236" spans="1:13" x14ac:dyDescent="0.35">
      <c r="A236" s="1">
        <v>45169</v>
      </c>
      <c r="B236">
        <v>-1.6049204212039921E-2</v>
      </c>
      <c r="C236">
        <v>-7.4251495116968158E-3</v>
      </c>
      <c r="D236">
        <v>-3.3571568108178518E-2</v>
      </c>
      <c r="E236">
        <v>1.632682005542252E-2</v>
      </c>
      <c r="F236">
        <v>-2.725727889165341E-2</v>
      </c>
      <c r="G236">
        <v>-2.0032603650286699E-2</v>
      </c>
      <c r="H236">
        <v>-1.519761890674776E-2</v>
      </c>
      <c r="I236">
        <v>-1.7593736938898989E-2</v>
      </c>
      <c r="J236">
        <v>-4.0272107861303752E-2</v>
      </c>
      <c r="K236">
        <v>-6.3237196097690518E-2</v>
      </c>
      <c r="L236">
        <v>-7.0315903955524561E-3</v>
      </c>
      <c r="M236">
        <v>-8.1616764000926878E-3</v>
      </c>
    </row>
    <row r="237" spans="1:13" x14ac:dyDescent="0.35">
      <c r="A237" s="1">
        <v>45199</v>
      </c>
      <c r="B237">
        <v>-4.8852211540280521E-2</v>
      </c>
      <c r="C237">
        <v>-3.1587485192624783E-2</v>
      </c>
      <c r="D237">
        <v>-4.8970159814416547E-2</v>
      </c>
      <c r="E237">
        <v>2.3748737276066301E-2</v>
      </c>
      <c r="F237">
        <v>-3.1369279149803482E-2</v>
      </c>
      <c r="G237">
        <v>-6.1317258760139381E-2</v>
      </c>
      <c r="H237">
        <v>-6.6977088432286003E-2</v>
      </c>
      <c r="I237">
        <v>-5.6909123837308513E-2</v>
      </c>
      <c r="J237">
        <v>-4.9063102239090377E-2</v>
      </c>
      <c r="K237">
        <v>-5.8078642717008133E-2</v>
      </c>
      <c r="L237">
        <v>-3.0038726327506819E-2</v>
      </c>
      <c r="M237">
        <v>-4.8341082209838682E-2</v>
      </c>
    </row>
    <row r="238" spans="1:13" x14ac:dyDescent="0.35">
      <c r="A238" s="1">
        <v>45230</v>
      </c>
      <c r="B238">
        <v>-2.1251156026700361E-2</v>
      </c>
      <c r="C238">
        <v>-1.9382282895119118E-2</v>
      </c>
      <c r="D238">
        <v>-3.2212921955238283E-2</v>
      </c>
      <c r="E238">
        <v>-5.9249507802246797E-2</v>
      </c>
      <c r="F238">
        <v>-2.4722732616029312E-2</v>
      </c>
      <c r="G238">
        <v>-3.0241713272689989E-2</v>
      </c>
      <c r="H238">
        <v>4.8778744333688451E-4</v>
      </c>
      <c r="I238">
        <v>-5.6741770944051417E-2</v>
      </c>
      <c r="J238">
        <v>-1.3902213986972001E-2</v>
      </c>
      <c r="K238">
        <v>1.281409876991235E-2</v>
      </c>
      <c r="L238">
        <v>-3.3167908864854212E-2</v>
      </c>
      <c r="M238">
        <v>7.0609698948389088E-2</v>
      </c>
    </row>
    <row r="239" spans="1:13" x14ac:dyDescent="0.35">
      <c r="A239" s="1">
        <v>45260</v>
      </c>
      <c r="B239">
        <v>8.7393342814587882E-2</v>
      </c>
      <c r="C239">
        <v>4.440218291022191E-2</v>
      </c>
      <c r="D239">
        <v>8.0184451438041648E-2</v>
      </c>
      <c r="E239">
        <v>-7.1861620686139993E-3</v>
      </c>
      <c r="F239">
        <v>0.1038142267709103</v>
      </c>
      <c r="G239">
        <v>8.4661832000672455E-2</v>
      </c>
      <c r="H239">
        <v>0.1212929497117701</v>
      </c>
      <c r="I239">
        <v>0.1040577318291156</v>
      </c>
      <c r="J239">
        <v>4.0433002059567791E-2</v>
      </c>
      <c r="K239">
        <v>5.0153593308456028E-2</v>
      </c>
      <c r="L239">
        <v>5.2933907762736432E-2</v>
      </c>
      <c r="M239">
        <v>2.6133930498092539E-2</v>
      </c>
    </row>
    <row r="240" spans="1:13" x14ac:dyDescent="0.35">
      <c r="A240" s="1">
        <v>45291</v>
      </c>
      <c r="B240">
        <v>4.4428931757288133E-2</v>
      </c>
      <c r="C240">
        <v>3.9351700865023709E-2</v>
      </c>
      <c r="D240">
        <v>4.4240275316270949E-2</v>
      </c>
      <c r="E240">
        <v>7.7153582993272352E-4</v>
      </c>
      <c r="F240">
        <v>5.12052641538423E-2</v>
      </c>
      <c r="G240">
        <v>6.8271127333684234E-2</v>
      </c>
      <c r="H240">
        <v>4.0975800850241662E-2</v>
      </c>
      <c r="I240">
        <v>5.9515018498179202E-2</v>
      </c>
      <c r="J240">
        <v>2.6755040515133999E-2</v>
      </c>
      <c r="K240">
        <v>1.841746166005187E-2</v>
      </c>
      <c r="L240">
        <v>4.2351616725776253E-2</v>
      </c>
      <c r="M240">
        <v>1.296308576205263E-2</v>
      </c>
    </row>
    <row r="241" spans="1:13" x14ac:dyDescent="0.35">
      <c r="A241" s="1">
        <v>45322</v>
      </c>
      <c r="B241">
        <v>1.6664465074738288E-2</v>
      </c>
      <c r="C241">
        <v>-1.606426048273768E-3</v>
      </c>
      <c r="D241">
        <v>-3.9707080769506582E-2</v>
      </c>
      <c r="E241">
        <v>-5.1419609121499121E-3</v>
      </c>
      <c r="F241">
        <v>3.0384669106336751E-2</v>
      </c>
      <c r="G241">
        <v>-9.697035673880805E-3</v>
      </c>
      <c r="H241">
        <v>2.6657318989283141E-2</v>
      </c>
      <c r="I241">
        <v>-4.5128132246246899E-2</v>
      </c>
      <c r="J241">
        <v>1.228045357073526E-2</v>
      </c>
      <c r="K241">
        <v>-3.0135289878575829E-2</v>
      </c>
      <c r="L241">
        <v>2.8907960809323899E-2</v>
      </c>
      <c r="M241">
        <v>-1.1437053370161539E-2</v>
      </c>
    </row>
    <row r="242" spans="1:13" x14ac:dyDescent="0.35">
      <c r="A242" s="1">
        <v>45351</v>
      </c>
      <c r="B242">
        <v>5.2019121316414292E-2</v>
      </c>
      <c r="C242">
        <v>-2.085913375568893E-2</v>
      </c>
      <c r="D242">
        <v>6.3047394442677263E-2</v>
      </c>
      <c r="E242">
        <v>3.2205587459152703E-2</v>
      </c>
      <c r="F242">
        <v>3.9954872432617972E-2</v>
      </c>
      <c r="G242">
        <v>6.9376813973430096E-2</v>
      </c>
      <c r="H242">
        <v>4.5972548198467862E-2</v>
      </c>
      <c r="I242">
        <v>7.5965962654714225E-2</v>
      </c>
      <c r="J242">
        <v>2.0764567928784668E-2</v>
      </c>
      <c r="K242">
        <v>1.0522093958878379E-2</v>
      </c>
      <c r="L242">
        <v>3.113834955848915E-2</v>
      </c>
      <c r="M242">
        <v>2.3409465563517529E-3</v>
      </c>
    </row>
    <row r="243" spans="1:13" x14ac:dyDescent="0.35">
      <c r="A243" s="1">
        <v>45382</v>
      </c>
      <c r="B243">
        <v>3.1667921660764257E-2</v>
      </c>
      <c r="C243">
        <v>8.0659662977131674E-3</v>
      </c>
      <c r="D243">
        <v>6.2677327011963158E-2</v>
      </c>
      <c r="E243">
        <v>9.9722002766774676E-2</v>
      </c>
      <c r="F243">
        <v>4.6937089492354638E-2</v>
      </c>
      <c r="G243">
        <v>4.3259551710212563E-2</v>
      </c>
      <c r="H243">
        <v>7.8632077147950952E-3</v>
      </c>
      <c r="I243">
        <v>-6.4797637026980937E-4</v>
      </c>
      <c r="J243">
        <v>3.266664971568467E-2</v>
      </c>
      <c r="K243">
        <v>6.3819423079752191E-2</v>
      </c>
      <c r="L243">
        <v>2.3499189847229651E-2</v>
      </c>
      <c r="M243">
        <v>8.688785519980069E-2</v>
      </c>
    </row>
    <row r="244" spans="1:13" x14ac:dyDescent="0.35">
      <c r="A244" s="1">
        <v>45412</v>
      </c>
      <c r="B244">
        <v>-4.170265170343157E-2</v>
      </c>
      <c r="C244">
        <v>-3.2056218732261499E-2</v>
      </c>
      <c r="D244">
        <v>-4.6945376254162507E-2</v>
      </c>
      <c r="E244">
        <v>-9.4716841547368702E-3</v>
      </c>
      <c r="F244">
        <v>-4.2683293321014393E-2</v>
      </c>
      <c r="G244">
        <v>-3.5885590031939252E-2</v>
      </c>
      <c r="H244">
        <v>-5.9344041257362257E-2</v>
      </c>
      <c r="I244">
        <v>-4.6015149030599112E-2</v>
      </c>
      <c r="J244">
        <v>-1.132640798665197E-2</v>
      </c>
      <c r="K244">
        <v>1.646700057387207E-2</v>
      </c>
      <c r="L244">
        <v>-5.1389466144444278E-2</v>
      </c>
      <c r="M244">
        <v>2.496963291431253E-2</v>
      </c>
    </row>
    <row r="245" spans="1:13" x14ac:dyDescent="0.35">
      <c r="A245" s="1">
        <v>45443</v>
      </c>
      <c r="B245">
        <v>4.8395019349067432E-2</v>
      </c>
      <c r="C245">
        <v>1.7930825345422011E-2</v>
      </c>
      <c r="D245">
        <v>3.2196369413953541E-2</v>
      </c>
      <c r="E245">
        <v>-3.42768469353727E-3</v>
      </c>
      <c r="F245">
        <v>3.1221893674885148E-2</v>
      </c>
      <c r="G245">
        <v>1.6243225004980211E-2</v>
      </c>
      <c r="H245">
        <v>6.8377901739696156E-2</v>
      </c>
      <c r="I245">
        <v>1.9909421694501721E-3</v>
      </c>
      <c r="J245">
        <v>2.4078489874641559E-2</v>
      </c>
      <c r="K245">
        <v>8.5812026463510271E-2</v>
      </c>
      <c r="L245">
        <v>2.3731033941012392E-2</v>
      </c>
      <c r="M245">
        <v>1.7808767036401999E-2</v>
      </c>
    </row>
    <row r="246" spans="1:13" x14ac:dyDescent="0.35">
      <c r="A246" s="1">
        <v>45473</v>
      </c>
      <c r="B246">
        <v>3.525301626475752E-2</v>
      </c>
      <c r="C246">
        <v>1.2582635891271289E-2</v>
      </c>
      <c r="D246">
        <v>-3.1061065377358421E-2</v>
      </c>
      <c r="E246">
        <v>-1.4242699427916341E-2</v>
      </c>
      <c r="F246">
        <v>-8.858144071321572E-3</v>
      </c>
      <c r="G246">
        <v>-9.9376907072379339E-3</v>
      </c>
      <c r="H246">
        <v>7.5435721510846321E-2</v>
      </c>
      <c r="I246">
        <v>3.8037387599655581E-2</v>
      </c>
      <c r="J246">
        <v>-2.3537244874329839E-3</v>
      </c>
      <c r="K246">
        <v>-5.7021741100934609E-2</v>
      </c>
      <c r="L246">
        <v>1.807564924674665E-2</v>
      </c>
      <c r="M246">
        <v>-2.4924367565759548E-4</v>
      </c>
    </row>
    <row r="247" spans="1:13" x14ac:dyDescent="0.35">
      <c r="A247" s="1">
        <v>45504</v>
      </c>
      <c r="B247">
        <v>1.2098983088588261E-2</v>
      </c>
      <c r="C247">
        <v>2.853263662030869E-2</v>
      </c>
      <c r="D247">
        <v>4.2455920270838547E-2</v>
      </c>
      <c r="E247">
        <v>2.2348599863505569E-2</v>
      </c>
      <c r="F247">
        <v>6.2011506624248369E-2</v>
      </c>
      <c r="G247">
        <v>4.7980953247263258E-2</v>
      </c>
      <c r="H247">
        <v>-3.339409943376026E-2</v>
      </c>
      <c r="I247">
        <v>2.7523582957110548E-2</v>
      </c>
      <c r="J247">
        <v>1.6447874758726218E-2</v>
      </c>
      <c r="K247">
        <v>6.6014363064585968E-2</v>
      </c>
      <c r="L247">
        <v>2.6272740382577101E-2</v>
      </c>
      <c r="M247">
        <v>5.0635508522565147E-2</v>
      </c>
    </row>
    <row r="248" spans="1:13" x14ac:dyDescent="0.35">
      <c r="A248" s="1">
        <v>45535</v>
      </c>
      <c r="B248">
        <v>2.3966847960766199E-2</v>
      </c>
      <c r="C248">
        <v>1.387293354761265E-2</v>
      </c>
      <c r="D248">
        <v>2.2959785634037999E-2</v>
      </c>
      <c r="E248">
        <v>-2.0923351337453159E-2</v>
      </c>
      <c r="F248">
        <v>4.4710280831376181E-2</v>
      </c>
      <c r="G248">
        <v>2.7766874794858509E-2</v>
      </c>
      <c r="H248">
        <v>6.9683099529651571E-3</v>
      </c>
      <c r="I248">
        <v>-1.9754349292062661E-3</v>
      </c>
      <c r="J248">
        <v>5.813567428848021E-2</v>
      </c>
      <c r="K248">
        <v>4.6963147337868882E-2</v>
      </c>
      <c r="L248">
        <v>4.9353323164095457E-2</v>
      </c>
      <c r="M248">
        <v>2.2537860730171388E-2</v>
      </c>
    </row>
    <row r="249" spans="1:13" x14ac:dyDescent="0.35">
      <c r="A249" s="1">
        <v>45565</v>
      </c>
      <c r="B249">
        <v>2.1132186039672259E-2</v>
      </c>
      <c r="C249">
        <v>1.3374663666707139E-2</v>
      </c>
      <c r="D249">
        <v>2.6483000290995928E-2</v>
      </c>
      <c r="E249">
        <v>-3.0645963242867499E-2</v>
      </c>
      <c r="F249">
        <v>-5.6046831064895386E-3</v>
      </c>
      <c r="G249">
        <v>3.3067474604476572E-2</v>
      </c>
      <c r="H249">
        <v>2.6140730205971959E-2</v>
      </c>
      <c r="I249">
        <v>7.0476815570571283E-2</v>
      </c>
      <c r="J249">
        <v>1.1221024067762819E-2</v>
      </c>
      <c r="K249">
        <v>6.3941154932589228E-2</v>
      </c>
      <c r="L249">
        <v>-1.6713610749133249E-2</v>
      </c>
      <c r="M249">
        <v>5.1077963163151267E-2</v>
      </c>
    </row>
    <row r="250" spans="1:13" x14ac:dyDescent="0.35">
      <c r="A250" s="1">
        <v>45596</v>
      </c>
      <c r="B250">
        <v>-9.10937229083153E-3</v>
      </c>
      <c r="C250">
        <v>-3.3927082178251133E-2</v>
      </c>
      <c r="D250">
        <v>-3.1514293201706962E-2</v>
      </c>
      <c r="E250">
        <v>8.9574521068866986E-3</v>
      </c>
      <c r="F250">
        <v>2.5273686021813901E-2</v>
      </c>
      <c r="G250">
        <v>-1.195847038940734E-2</v>
      </c>
      <c r="H250">
        <v>-1.571451992526551E-2</v>
      </c>
      <c r="I250">
        <v>-1.752039290367069E-2</v>
      </c>
      <c r="J250">
        <v>-3.5315196026218132E-2</v>
      </c>
      <c r="K250">
        <v>-1.0828363758152991E-2</v>
      </c>
      <c r="L250">
        <v>-4.7534658949894393E-2</v>
      </c>
      <c r="M250">
        <v>4.0682000359696602E-2</v>
      </c>
    </row>
    <row r="251" spans="1:13" x14ac:dyDescent="0.35">
      <c r="A251" s="1">
        <v>45626</v>
      </c>
      <c r="B251">
        <v>5.7042276891873911E-2</v>
      </c>
      <c r="C251">
        <v>9.6549553733797921E-3</v>
      </c>
      <c r="D251">
        <v>1.4774143124903549E-2</v>
      </c>
      <c r="E251">
        <v>7.5421473355109292E-2</v>
      </c>
      <c r="F251">
        <v>9.9448111655805693E-2</v>
      </c>
      <c r="G251">
        <v>7.3173494168584874E-2</v>
      </c>
      <c r="H251">
        <v>5.0408598941416471E-2</v>
      </c>
      <c r="I251">
        <v>0.12138254726882899</v>
      </c>
      <c r="J251">
        <v>3.7962404438253827E-2</v>
      </c>
      <c r="K251">
        <v>3.7095741515861043E-2</v>
      </c>
      <c r="L251">
        <v>3.6701655878426109E-3</v>
      </c>
      <c r="M251">
        <v>-3.7434389158555348E-2</v>
      </c>
    </row>
    <row r="252" spans="1:13" x14ac:dyDescent="0.35">
      <c r="A252" s="1">
        <v>45657</v>
      </c>
      <c r="B252">
        <v>-2.4126819404715501E-2</v>
      </c>
      <c r="C252">
        <v>-2.2610307400006139E-2</v>
      </c>
      <c r="D252">
        <v>-0.11387483795167069</v>
      </c>
      <c r="E252">
        <v>-0.1007000089697678</v>
      </c>
      <c r="F252">
        <v>-5.6162117572183153E-2</v>
      </c>
      <c r="G252">
        <v>-8.3742344680300285E-2</v>
      </c>
      <c r="H252">
        <v>-3.5530843179571998E-3</v>
      </c>
      <c r="I252">
        <v>1.1072884068701329E-2</v>
      </c>
      <c r="J252">
        <v>-4.9429699646467817E-2</v>
      </c>
      <c r="K252">
        <v>-8.3100172465443656E-2</v>
      </c>
      <c r="L252">
        <v>-6.4567625647167226E-2</v>
      </c>
      <c r="M252">
        <v>-7.0809859904947814E-3</v>
      </c>
    </row>
    <row r="253" spans="1:13" x14ac:dyDescent="0.35">
      <c r="A253" s="1">
        <v>45688</v>
      </c>
      <c r="B253">
        <v>2.7466632965785109E-2</v>
      </c>
      <c r="C253">
        <v>6.659244406087339E-3</v>
      </c>
      <c r="D253">
        <v>5.3791963626335981E-2</v>
      </c>
      <c r="E253">
        <v>2.2851530861628611E-2</v>
      </c>
      <c r="F253">
        <v>6.2946625822843938E-2</v>
      </c>
      <c r="G253">
        <v>4.8804711968137397E-2</v>
      </c>
      <c r="H253">
        <v>-7.381417344197061E-3</v>
      </c>
      <c r="I253">
        <v>3.4262470135972833E-2</v>
      </c>
      <c r="J253">
        <v>4.6957443496138396E-3</v>
      </c>
      <c r="K253">
        <v>2.8523192041306711E-2</v>
      </c>
      <c r="L253">
        <v>6.5414996519884916E-2</v>
      </c>
      <c r="M253">
        <v>6.4160997036153411E-2</v>
      </c>
    </row>
    <row r="254" spans="1:13" x14ac:dyDescent="0.35">
      <c r="A254" s="1">
        <v>45716</v>
      </c>
      <c r="B254">
        <v>-1.313350584204187E-2</v>
      </c>
      <c r="C254">
        <v>2.77235444174595E-2</v>
      </c>
      <c r="D254">
        <v>-3.3790577628023399E-4</v>
      </c>
      <c r="E254">
        <v>3.7621991512779118E-2</v>
      </c>
      <c r="F254">
        <v>1.3700202406203401E-2</v>
      </c>
      <c r="G254">
        <v>-1.470836572585732E-2</v>
      </c>
      <c r="H254">
        <v>-2.3141688055569709E-2</v>
      </c>
      <c r="I254">
        <v>-7.2376544227223505E-2</v>
      </c>
      <c r="J254">
        <v>5.0609296350383907E-2</v>
      </c>
      <c r="K254">
        <v>1.7059585125654309E-2</v>
      </c>
      <c r="L254">
        <v>1.3928508123797201E-2</v>
      </c>
      <c r="M254">
        <v>2.1011196836817621E-2</v>
      </c>
    </row>
    <row r="255" spans="1:13" x14ac:dyDescent="0.35">
      <c r="A255" s="1">
        <v>45747</v>
      </c>
      <c r="B255">
        <v>-5.7993883220218478E-2</v>
      </c>
      <c r="C255">
        <v>3.7414302634477541E-3</v>
      </c>
      <c r="D255">
        <v>-2.7065851238704312E-2</v>
      </c>
      <c r="E255">
        <v>3.4335979622978297E-2</v>
      </c>
      <c r="F255">
        <v>-4.2857866951403263E-2</v>
      </c>
      <c r="G255">
        <v>-3.627977020703721E-2</v>
      </c>
      <c r="H255">
        <v>-8.6495443573323172E-2</v>
      </c>
      <c r="I255">
        <v>-8.6808495534158148E-2</v>
      </c>
      <c r="J255">
        <v>-1.1834269033777821E-2</v>
      </c>
      <c r="K255">
        <v>2.3910376862135152E-3</v>
      </c>
      <c r="L255">
        <v>-1.5939834196005979E-2</v>
      </c>
      <c r="M255">
        <v>8.8913982874345265E-2</v>
      </c>
    </row>
    <row r="256" spans="1:13" x14ac:dyDescent="0.35">
      <c r="A256" s="1">
        <v>45777</v>
      </c>
      <c r="B256">
        <v>-6.8045620945991203E-3</v>
      </c>
      <c r="C256">
        <v>1.0176261534488701E-2</v>
      </c>
      <c r="D256">
        <v>-2.460830669862402E-2</v>
      </c>
      <c r="E256">
        <v>-0.14916944629591281</v>
      </c>
      <c r="F256">
        <v>-2.1305586667408779E-2</v>
      </c>
      <c r="G256">
        <v>1.14369233314271E-3</v>
      </c>
      <c r="H256">
        <v>1.676118383502434E-2</v>
      </c>
      <c r="I256">
        <v>-1.013422261463504E-3</v>
      </c>
      <c r="J256">
        <v>1.9572662878797331E-3</v>
      </c>
      <c r="K256">
        <v>6.3388764146576904E-4</v>
      </c>
      <c r="L256">
        <v>-3.868108351996824E-2</v>
      </c>
      <c r="M256">
        <v>5.1518812165078032E-2</v>
      </c>
    </row>
    <row r="257" spans="1:13" x14ac:dyDescent="0.35">
      <c r="A257" s="1">
        <v>45808</v>
      </c>
      <c r="B257">
        <v>6.1043578977699298E-2</v>
      </c>
      <c r="C257">
        <v>-1.1858173080384841E-2</v>
      </c>
      <c r="D257">
        <v>2.878647145638524E-2</v>
      </c>
      <c r="E257">
        <v>1.2713927685400689E-2</v>
      </c>
      <c r="F257">
        <v>4.4130816211290558E-2</v>
      </c>
      <c r="G257">
        <v>8.4709856716238541E-2</v>
      </c>
      <c r="H257">
        <v>9.5063302723044529E-2</v>
      </c>
      <c r="I257">
        <v>8.0518337500330439E-2</v>
      </c>
      <c r="J257">
        <v>1.214640435665792E-2</v>
      </c>
      <c r="K257">
        <v>3.7562022763479419E-2</v>
      </c>
      <c r="L257">
        <v>-5.7355295593058742E-2</v>
      </c>
      <c r="M257">
        <v>1.6418464119816181E-4</v>
      </c>
    </row>
    <row r="258" spans="1:13" x14ac:dyDescent="0.35">
      <c r="A258" s="1">
        <v>45838</v>
      </c>
      <c r="B258">
        <v>4.9601681230292627E-2</v>
      </c>
      <c r="C258">
        <v>1.5629828673754179E-2</v>
      </c>
      <c r="D258">
        <v>2.196362950671071E-2</v>
      </c>
      <c r="E258">
        <v>4.7544339174546042E-2</v>
      </c>
      <c r="F258">
        <v>3.0714097024237219E-2</v>
      </c>
      <c r="G258">
        <v>3.541742215026833E-2</v>
      </c>
      <c r="H258">
        <v>9.3926113073578676E-2</v>
      </c>
      <c r="I258">
        <v>1.849989610106029E-2</v>
      </c>
      <c r="J258">
        <v>-1.58752044209951E-2</v>
      </c>
      <c r="K258">
        <v>3.740292796639455E-3</v>
      </c>
      <c r="L258">
        <v>2.0841823313419109E-2</v>
      </c>
      <c r="M258">
        <v>4.2139559565548268E-3</v>
      </c>
    </row>
    <row r="259" spans="1:13" x14ac:dyDescent="0.35">
      <c r="A259" s="1">
        <v>45869</v>
      </c>
      <c r="B259">
        <v>2.219455142360971E-2</v>
      </c>
      <c r="C259">
        <v>-5.8891897666013548E-3</v>
      </c>
      <c r="D259">
        <v>-9.1141407749173453E-4</v>
      </c>
      <c r="E259">
        <v>2.790556883269835E-2</v>
      </c>
      <c r="F259">
        <v>0</v>
      </c>
      <c r="G259">
        <v>2.9982616399282239E-2</v>
      </c>
      <c r="H259">
        <v>3.6866788862616851E-2</v>
      </c>
      <c r="I259">
        <v>1.868962356039372E-2</v>
      </c>
      <c r="J259">
        <v>-1.480591370193896E-2</v>
      </c>
      <c r="K259">
        <v>4.7938293638506213E-2</v>
      </c>
      <c r="L259">
        <v>-3.2881387866575018E-2</v>
      </c>
      <c r="M259">
        <v>-4.0072432651783174E-3</v>
      </c>
    </row>
    <row r="260" spans="1:13" x14ac:dyDescent="0.35">
      <c r="A260" s="1">
        <v>45900</v>
      </c>
      <c r="B260">
        <v>2.0069046051965241E-2</v>
      </c>
      <c r="C260">
        <v>1.6593402677089308E-2</v>
      </c>
      <c r="D260">
        <v>5.056341889899274E-2</v>
      </c>
      <c r="E260">
        <v>3.5814638660023317E-2</v>
      </c>
      <c r="F260">
        <v>3.0464972597556091E-2</v>
      </c>
      <c r="G260">
        <v>0</v>
      </c>
      <c r="H260">
        <v>-1.10431775617581E-3</v>
      </c>
      <c r="I260">
        <v>4.5509609879046842E-2</v>
      </c>
      <c r="J260">
        <v>1.245648852670111E-2</v>
      </c>
      <c r="K260">
        <v>-1.588363549760885E-2</v>
      </c>
      <c r="L260">
        <v>5.2277962989056632E-2</v>
      </c>
      <c r="M260">
        <v>4.6913563581025393E-2</v>
      </c>
    </row>
    <row r="261" spans="1:13" x14ac:dyDescent="0.35">
      <c r="A261" s="1">
        <v>45930</v>
      </c>
      <c r="B261">
        <v>3.5849606261502132E-2</v>
      </c>
      <c r="C261">
        <v>6.7178658721358531E-3</v>
      </c>
      <c r="D261">
        <v>-2.4514559764193141E-2</v>
      </c>
      <c r="E261">
        <v>-3.1869765448493399E-3</v>
      </c>
      <c r="F261">
        <v>1.061378910181876E-3</v>
      </c>
      <c r="G261">
        <v>1.862158992237806E-2</v>
      </c>
      <c r="H261">
        <v>7.2634269691544517E-2</v>
      </c>
      <c r="I261">
        <v>3.5283901347831659E-2</v>
      </c>
      <c r="J261">
        <v>-2.3449377895297548E-2</v>
      </c>
      <c r="K261">
        <v>4.0408753271398812E-2</v>
      </c>
      <c r="L261">
        <v>1.7144427202915761E-2</v>
      </c>
      <c r="M261">
        <v>0.1126178655859178</v>
      </c>
    </row>
    <row r="262" spans="1:13" x14ac:dyDescent="0.35">
      <c r="A262" s="1">
        <v>45961</v>
      </c>
      <c r="B262">
        <v>2.3143813805361901E-2</v>
      </c>
      <c r="C262">
        <v>6.8527729251028902E-3</v>
      </c>
      <c r="D262">
        <v>-4.5075883513534531E-2</v>
      </c>
      <c r="E262">
        <v>-1.3636353231234469E-2</v>
      </c>
      <c r="F262">
        <v>-2.8239862375010191E-2</v>
      </c>
      <c r="G262">
        <v>5.3672119884309311E-3</v>
      </c>
      <c r="H262">
        <v>6.4636067568081046E-2</v>
      </c>
      <c r="I262">
        <v>1.209364315034378E-3</v>
      </c>
      <c r="J262">
        <v>-2.7030508188522259E-2</v>
      </c>
      <c r="K262">
        <v>2.1440258351482999E-2</v>
      </c>
      <c r="L262">
        <v>3.585170496183121E-2</v>
      </c>
      <c r="M262">
        <v>3.6626377677363209E-2</v>
      </c>
    </row>
    <row r="263" spans="1:13" x14ac:dyDescent="0.35">
      <c r="A263" s="1">
        <v>45991</v>
      </c>
      <c r="B263">
        <v>2.447876368737667E-3</v>
      </c>
      <c r="C263">
        <v>1.0112836396407591E-2</v>
      </c>
      <c r="D263">
        <v>4.2618033953270913E-2</v>
      </c>
      <c r="E263">
        <v>2.5984232809048269E-2</v>
      </c>
      <c r="F263">
        <v>1.8165172916147391E-2</v>
      </c>
      <c r="G263">
        <v>-8.8745383130159894E-3</v>
      </c>
      <c r="H263">
        <v>-4.9285918625843188E-2</v>
      </c>
      <c r="I263">
        <v>-1.4568081046263609E-2</v>
      </c>
      <c r="J263">
        <v>3.9709768199879918E-2</v>
      </c>
      <c r="K263">
        <v>1.7025868411648659E-2</v>
      </c>
      <c r="L263">
        <v>8.8829432360675753E-2</v>
      </c>
      <c r="M263">
        <v>5.7404731445053869E-2</v>
      </c>
    </row>
    <row r="264" spans="1:13" x14ac:dyDescent="0.35">
      <c r="A264" s="1">
        <v>46022</v>
      </c>
      <c r="B264">
        <v>6.1190014805845294E-4</v>
      </c>
      <c r="C264">
        <v>-5.8287238771423944E-3</v>
      </c>
      <c r="D264">
        <v>1.9585431574587361E-2</v>
      </c>
      <c r="E264">
        <v>-2.9645978381038769E-3</v>
      </c>
      <c r="F264">
        <v>3.0132533351672212E-2</v>
      </c>
      <c r="G264">
        <v>1.2680554330009031E-2</v>
      </c>
      <c r="H264">
        <v>7.5070690388034933E-3</v>
      </c>
      <c r="I264">
        <v>1.19108472553302E-2</v>
      </c>
      <c r="J264">
        <v>-1.3531960020398691E-2</v>
      </c>
      <c r="K264">
        <v>-5.2209444304183623E-2</v>
      </c>
      <c r="L264">
        <v>-1.399405556611644E-2</v>
      </c>
      <c r="M264">
        <v>1.86807320434248E-2</v>
      </c>
    </row>
    <row r="265" spans="1:13" x14ac:dyDescent="0.35">
      <c r="A265" s="1">
        <v>46053</v>
      </c>
      <c r="B265">
        <v>1.439611779718142E-2</v>
      </c>
      <c r="C265">
        <v>-4.084443968395135E-3</v>
      </c>
      <c r="D265">
        <v>8.2905213593523097E-2</v>
      </c>
      <c r="E265">
        <v>0.13260835989685529</v>
      </c>
      <c r="F265">
        <v>-2.4583105985768849E-2</v>
      </c>
      <c r="G265">
        <v>6.4409634382311509E-2</v>
      </c>
      <c r="H265">
        <v>-6.252285100663002E-4</v>
      </c>
      <c r="I265">
        <v>1.463155339697764E-2</v>
      </c>
      <c r="J265">
        <v>7.2368593020750716E-2</v>
      </c>
      <c r="K265">
        <v>1.303258416350239E-2</v>
      </c>
      <c r="L265">
        <v>-3.8766597063411012E-4</v>
      </c>
      <c r="M265">
        <v>0.12494740195024261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65"/>
  <sheetViews>
    <sheetView workbookViewId="0"/>
  </sheetViews>
  <sheetFormatPr defaultRowHeight="14.5" x14ac:dyDescent="0.35"/>
  <sheetData>
    <row r="1" spans="1:4" x14ac:dyDescent="0.35">
      <c r="A1" t="s">
        <v>94</v>
      </c>
      <c r="B1" t="s">
        <v>1183</v>
      </c>
      <c r="C1" t="s">
        <v>1184</v>
      </c>
      <c r="D1" t="s">
        <v>1185</v>
      </c>
    </row>
    <row r="2" spans="1:4" x14ac:dyDescent="0.35">
      <c r="A2" s="1">
        <v>38017</v>
      </c>
      <c r="B2">
        <v>0.12500570289638571</v>
      </c>
      <c r="C2">
        <v>0.47760799771439683</v>
      </c>
      <c r="D2">
        <v>0.39738629938921738</v>
      </c>
    </row>
    <row r="3" spans="1:4" x14ac:dyDescent="0.35">
      <c r="A3" s="1">
        <v>38046</v>
      </c>
      <c r="B3">
        <v>0.12477062271865159</v>
      </c>
      <c r="C3">
        <v>0.59488572456503974</v>
      </c>
      <c r="D3">
        <v>0.28034365271630862</v>
      </c>
    </row>
    <row r="4" spans="1:4" x14ac:dyDescent="0.35">
      <c r="A4" s="1">
        <v>38077</v>
      </c>
      <c r="B4">
        <v>0.27948837037648999</v>
      </c>
      <c r="C4">
        <v>0.40596689745991421</v>
      </c>
      <c r="D4">
        <v>0.31454473216359591</v>
      </c>
    </row>
    <row r="5" spans="1:4" x14ac:dyDescent="0.35">
      <c r="A5" s="1">
        <v>38107</v>
      </c>
      <c r="B5">
        <v>0.15622153952613099</v>
      </c>
      <c r="C5">
        <v>0.57268983625860637</v>
      </c>
      <c r="D5">
        <v>0.27108862421526281</v>
      </c>
    </row>
    <row r="6" spans="1:4" x14ac:dyDescent="0.35">
      <c r="A6" s="1">
        <v>38138</v>
      </c>
      <c r="B6">
        <v>0.48349854158765598</v>
      </c>
      <c r="C6">
        <v>0.42420364628279023</v>
      </c>
      <c r="D6">
        <v>9.2297812129553569E-2</v>
      </c>
    </row>
    <row r="7" spans="1:4" x14ac:dyDescent="0.35">
      <c r="A7" s="1">
        <v>38168</v>
      </c>
      <c r="B7">
        <v>0.56546239737149839</v>
      </c>
      <c r="C7">
        <v>0.2571782495147189</v>
      </c>
      <c r="D7">
        <v>0.1773593531137829</v>
      </c>
    </row>
    <row r="8" spans="1:4" x14ac:dyDescent="0.35">
      <c r="A8" s="1">
        <v>38199</v>
      </c>
      <c r="B8">
        <v>0.93363248631805895</v>
      </c>
      <c r="C8">
        <v>8.5323683339366323E-10</v>
      </c>
      <c r="D8">
        <v>6.6367512828704275E-2</v>
      </c>
    </row>
    <row r="9" spans="1:4" x14ac:dyDescent="0.35">
      <c r="A9" s="1">
        <v>38230</v>
      </c>
      <c r="B9">
        <v>0.94670457783271433</v>
      </c>
      <c r="C9">
        <v>6.3593844989352203E-13</v>
      </c>
      <c r="D9">
        <v>5.3295422166649717E-2</v>
      </c>
    </row>
    <row r="10" spans="1:4" x14ac:dyDescent="0.35">
      <c r="A10" s="1">
        <v>38260</v>
      </c>
      <c r="B10">
        <v>0.94757705296255779</v>
      </c>
      <c r="C10">
        <v>9.9753033216235811E-7</v>
      </c>
      <c r="D10">
        <v>5.2421949507110072E-2</v>
      </c>
    </row>
    <row r="11" spans="1:4" x14ac:dyDescent="0.35">
      <c r="A11" s="1">
        <v>38291</v>
      </c>
      <c r="B11">
        <v>0.93370690457862604</v>
      </c>
      <c r="C11">
        <v>4.3681849554759647E-10</v>
      </c>
      <c r="D11">
        <v>6.6293094984555545E-2</v>
      </c>
    </row>
    <row r="12" spans="1:4" x14ac:dyDescent="0.35">
      <c r="A12" s="1">
        <v>38321</v>
      </c>
      <c r="B12">
        <v>0.5319663296149949</v>
      </c>
      <c r="C12">
        <v>0.36458807070864641</v>
      </c>
      <c r="D12">
        <v>0.1034455996763588</v>
      </c>
    </row>
    <row r="13" spans="1:4" x14ac:dyDescent="0.35">
      <c r="A13" s="1">
        <v>38352</v>
      </c>
      <c r="B13">
        <v>0.93810118288819844</v>
      </c>
      <c r="C13">
        <v>4.1207941156716412E-3</v>
      </c>
      <c r="D13">
        <v>5.7778022996129857E-2</v>
      </c>
    </row>
    <row r="14" spans="1:4" x14ac:dyDescent="0.35">
      <c r="A14" s="1">
        <v>38383</v>
      </c>
      <c r="B14">
        <v>0.45807110366768061</v>
      </c>
      <c r="C14">
        <v>0.46350551070826679</v>
      </c>
      <c r="D14">
        <v>7.8423385624052683E-2</v>
      </c>
    </row>
    <row r="15" spans="1:4" x14ac:dyDescent="0.35">
      <c r="A15" s="1">
        <v>38411</v>
      </c>
      <c r="B15">
        <v>0.2182290983821408</v>
      </c>
      <c r="C15">
        <v>0.75069018983132996</v>
      </c>
      <c r="D15">
        <v>3.108071178652928E-2</v>
      </c>
    </row>
    <row r="16" spans="1:4" x14ac:dyDescent="0.35">
      <c r="A16" s="1">
        <v>38442</v>
      </c>
      <c r="B16">
        <v>0.89074743092758846</v>
      </c>
      <c r="C16">
        <v>1.220664826687691E-4</v>
      </c>
      <c r="D16">
        <v>0.1091305025897428</v>
      </c>
    </row>
    <row r="17" spans="1:4" x14ac:dyDescent="0.35">
      <c r="A17" s="1">
        <v>38472</v>
      </c>
      <c r="B17">
        <v>0.93607803939445977</v>
      </c>
      <c r="C17">
        <v>6.1071788074049681E-15</v>
      </c>
      <c r="D17">
        <v>6.3921960605534123E-2</v>
      </c>
    </row>
    <row r="18" spans="1:4" x14ac:dyDescent="0.35">
      <c r="A18" s="1">
        <v>38503</v>
      </c>
      <c r="B18">
        <v>0.93122852324423588</v>
      </c>
      <c r="C18">
        <v>4.8878975145362318E-2</v>
      </c>
      <c r="D18">
        <v>1.9892501610401819E-2</v>
      </c>
    </row>
    <row r="19" spans="1:4" x14ac:dyDescent="0.35">
      <c r="A19" s="1">
        <v>38533</v>
      </c>
      <c r="B19">
        <v>0.25112050935931279</v>
      </c>
      <c r="C19">
        <v>0.51578216559485024</v>
      </c>
      <c r="D19">
        <v>0.23309732504583691</v>
      </c>
    </row>
    <row r="20" spans="1:4" x14ac:dyDescent="0.35">
      <c r="A20" s="1">
        <v>38564</v>
      </c>
      <c r="B20">
        <v>0.9515279498006628</v>
      </c>
      <c r="C20">
        <v>5.7760836396317178E-5</v>
      </c>
      <c r="D20">
        <v>4.841428936294085E-2</v>
      </c>
    </row>
    <row r="21" spans="1:4" x14ac:dyDescent="0.35">
      <c r="A21" s="1">
        <v>38595</v>
      </c>
      <c r="B21">
        <v>0.94778287760940749</v>
      </c>
      <c r="C21">
        <v>6.2091192287993803E-9</v>
      </c>
      <c r="D21">
        <v>5.2217116181473268E-2</v>
      </c>
    </row>
    <row r="22" spans="1:4" x14ac:dyDescent="0.35">
      <c r="A22" s="1">
        <v>38625</v>
      </c>
      <c r="B22">
        <v>0.94772966106923351</v>
      </c>
      <c r="C22">
        <v>5.3336497127329257E-6</v>
      </c>
      <c r="D22">
        <v>5.226500528105376E-2</v>
      </c>
    </row>
    <row r="23" spans="1:4" x14ac:dyDescent="0.35">
      <c r="A23" s="1">
        <v>38656</v>
      </c>
      <c r="B23">
        <v>2.58420144055744E-2</v>
      </c>
      <c r="C23">
        <v>5.1759501765467332E-8</v>
      </c>
      <c r="D23">
        <v>0.97415793383492388</v>
      </c>
    </row>
    <row r="24" spans="1:4" x14ac:dyDescent="0.35">
      <c r="A24" s="1">
        <v>38686</v>
      </c>
      <c r="B24">
        <v>6.8300111963734034E-2</v>
      </c>
      <c r="C24">
        <v>0.93075496301576732</v>
      </c>
      <c r="D24">
        <v>9.4492502049875699E-4</v>
      </c>
    </row>
    <row r="25" spans="1:4" x14ac:dyDescent="0.35">
      <c r="A25" s="1">
        <v>38717</v>
      </c>
      <c r="B25">
        <v>0.91881983467992623</v>
      </c>
      <c r="C25">
        <v>4.2129841575812592E-4</v>
      </c>
      <c r="D25">
        <v>8.075886690431569E-2</v>
      </c>
    </row>
    <row r="26" spans="1:4" x14ac:dyDescent="0.35">
      <c r="A26" s="1">
        <v>38748</v>
      </c>
      <c r="B26">
        <v>2.0549946666962068E-2</v>
      </c>
      <c r="C26">
        <v>0.56244743291668586</v>
      </c>
      <c r="D26">
        <v>0.41700262041635211</v>
      </c>
    </row>
    <row r="27" spans="1:4" x14ac:dyDescent="0.35">
      <c r="A27" s="1">
        <v>38776</v>
      </c>
      <c r="B27">
        <v>4.5890472285495927E-2</v>
      </c>
      <c r="C27">
        <v>0.952543959368501</v>
      </c>
      <c r="D27">
        <v>1.565568346003106E-3</v>
      </c>
    </row>
    <row r="28" spans="1:4" x14ac:dyDescent="0.35">
      <c r="A28" s="1">
        <v>38807</v>
      </c>
      <c r="B28">
        <v>4.3625194781799978E-2</v>
      </c>
      <c r="C28">
        <v>0.95585814231723953</v>
      </c>
      <c r="D28">
        <v>5.166629009604835E-4</v>
      </c>
    </row>
    <row r="29" spans="1:4" x14ac:dyDescent="0.35">
      <c r="A29" s="1">
        <v>38837</v>
      </c>
      <c r="B29">
        <v>1.881501689704658E-2</v>
      </c>
      <c r="C29">
        <v>0.94863364966461494</v>
      </c>
      <c r="D29">
        <v>3.2551333438338548E-2</v>
      </c>
    </row>
    <row r="30" spans="1:4" x14ac:dyDescent="0.35">
      <c r="A30" s="1">
        <v>38868</v>
      </c>
      <c r="B30">
        <v>1.2293086450830001E-6</v>
      </c>
      <c r="C30">
        <v>0.95029414247328925</v>
      </c>
      <c r="D30">
        <v>4.9704628218065643E-2</v>
      </c>
    </row>
    <row r="31" spans="1:4" x14ac:dyDescent="0.35">
      <c r="A31" s="1">
        <v>38898</v>
      </c>
      <c r="B31">
        <v>4.9988321602232712E-7</v>
      </c>
      <c r="C31">
        <v>0.93737463757174899</v>
      </c>
      <c r="D31">
        <v>6.2624862545034909E-2</v>
      </c>
    </row>
    <row r="32" spans="1:4" x14ac:dyDescent="0.35">
      <c r="A32" s="1">
        <v>38929</v>
      </c>
      <c r="B32">
        <v>3.6056940370993107E-2</v>
      </c>
      <c r="C32">
        <v>0.37916160246681779</v>
      </c>
      <c r="D32">
        <v>0.58478145716218921</v>
      </c>
    </row>
    <row r="33" spans="1:4" x14ac:dyDescent="0.35">
      <c r="A33" s="1">
        <v>38960</v>
      </c>
      <c r="B33">
        <v>0.80954213974716771</v>
      </c>
      <c r="C33">
        <v>0.16725750770524109</v>
      </c>
      <c r="D33">
        <v>2.3200352547591261E-2</v>
      </c>
    </row>
    <row r="34" spans="1:4" x14ac:dyDescent="0.35">
      <c r="A34" s="1">
        <v>38990</v>
      </c>
      <c r="B34">
        <v>0.56782338144768396</v>
      </c>
      <c r="C34">
        <v>0.37512935062929192</v>
      </c>
      <c r="D34">
        <v>5.7047267923024281E-2</v>
      </c>
    </row>
    <row r="35" spans="1:4" x14ac:dyDescent="0.35">
      <c r="A35" s="1">
        <v>39021</v>
      </c>
      <c r="B35">
        <v>2.0986758632546671E-7</v>
      </c>
      <c r="C35">
        <v>2.1293615625149569E-21</v>
      </c>
      <c r="D35">
        <v>0.99999979013241369</v>
      </c>
    </row>
    <row r="36" spans="1:4" x14ac:dyDescent="0.35">
      <c r="A36" s="1">
        <v>39051</v>
      </c>
      <c r="B36">
        <v>0.90376795119165843</v>
      </c>
      <c r="C36">
        <v>2.8872290958642351E-2</v>
      </c>
      <c r="D36">
        <v>6.7359757849699317E-2</v>
      </c>
    </row>
    <row r="37" spans="1:4" x14ac:dyDescent="0.35">
      <c r="A37" s="1">
        <v>39082</v>
      </c>
      <c r="B37">
        <v>2.1427897310923439E-14</v>
      </c>
      <c r="C37">
        <v>0.92030983481239137</v>
      </c>
      <c r="D37">
        <v>7.9690165187587203E-2</v>
      </c>
    </row>
    <row r="38" spans="1:4" x14ac:dyDescent="0.35">
      <c r="A38" s="1">
        <v>39113</v>
      </c>
      <c r="B38">
        <v>0.93745319768707402</v>
      </c>
      <c r="C38">
        <v>9.593804694019361E-5</v>
      </c>
      <c r="D38">
        <v>6.2450864265985777E-2</v>
      </c>
    </row>
    <row r="39" spans="1:4" x14ac:dyDescent="0.35">
      <c r="A39" s="1">
        <v>39141</v>
      </c>
      <c r="B39">
        <v>5.0608776406791869E-8</v>
      </c>
      <c r="C39">
        <v>0.99999994554439442</v>
      </c>
      <c r="D39">
        <v>3.846829276893621E-9</v>
      </c>
    </row>
    <row r="40" spans="1:4" x14ac:dyDescent="0.35">
      <c r="A40" s="1">
        <v>39172</v>
      </c>
      <c r="B40">
        <v>1.5253107573077541E-17</v>
      </c>
      <c r="C40">
        <v>1.001854828850797E-16</v>
      </c>
      <c r="D40">
        <v>0.99999999999999989</v>
      </c>
    </row>
    <row r="41" spans="1:4" x14ac:dyDescent="0.35">
      <c r="A41" s="1">
        <v>39202</v>
      </c>
      <c r="B41">
        <v>8.9440736919778113E-27</v>
      </c>
      <c r="C41">
        <v>0.93941015539201922</v>
      </c>
      <c r="D41">
        <v>6.0589844607980808E-2</v>
      </c>
    </row>
    <row r="42" spans="1:4" x14ac:dyDescent="0.35">
      <c r="A42" s="1">
        <v>39233</v>
      </c>
      <c r="B42">
        <v>2.4178139230495599E-11</v>
      </c>
      <c r="C42">
        <v>0.99999999997394717</v>
      </c>
      <c r="D42">
        <v>1.8747127519111448E-12</v>
      </c>
    </row>
    <row r="43" spans="1:4" x14ac:dyDescent="0.35">
      <c r="A43" s="1">
        <v>39263</v>
      </c>
      <c r="B43">
        <v>5.3828203626367723E-17</v>
      </c>
      <c r="C43">
        <v>0.99999999999999956</v>
      </c>
      <c r="D43">
        <v>5.0112863141915413E-16</v>
      </c>
    </row>
    <row r="44" spans="1:4" x14ac:dyDescent="0.35">
      <c r="A44" s="1">
        <v>39294</v>
      </c>
      <c r="B44">
        <v>4.8921396475259588E-2</v>
      </c>
      <c r="C44">
        <v>6.8262549290581925E-2</v>
      </c>
      <c r="D44">
        <v>0.88281605423415854</v>
      </c>
    </row>
    <row r="45" spans="1:4" x14ac:dyDescent="0.35">
      <c r="A45" s="1">
        <v>39325</v>
      </c>
      <c r="B45">
        <v>0.1019235113802998</v>
      </c>
      <c r="C45">
        <v>0.57974112644026599</v>
      </c>
      <c r="D45">
        <v>0.3183353621794342</v>
      </c>
    </row>
    <row r="46" spans="1:4" x14ac:dyDescent="0.35">
      <c r="A46" s="1">
        <v>39355</v>
      </c>
      <c r="B46">
        <v>0.57883077086064261</v>
      </c>
      <c r="C46">
        <v>0.3537802319320309</v>
      </c>
      <c r="D46">
        <v>6.7388997207326592E-2</v>
      </c>
    </row>
    <row r="47" spans="1:4" x14ac:dyDescent="0.35">
      <c r="A47" s="1">
        <v>39386</v>
      </c>
      <c r="B47">
        <v>0.51346554722351134</v>
      </c>
      <c r="C47">
        <v>0.29483369291877592</v>
      </c>
      <c r="D47">
        <v>0.1917007598577127</v>
      </c>
    </row>
    <row r="48" spans="1:4" x14ac:dyDescent="0.35">
      <c r="A48" s="1">
        <v>39416</v>
      </c>
      <c r="B48">
        <v>1.820534265398319E-2</v>
      </c>
      <c r="C48">
        <v>0.97739788062112665</v>
      </c>
      <c r="D48">
        <v>4.3967767248901399E-3</v>
      </c>
    </row>
    <row r="49" spans="1:4" x14ac:dyDescent="0.35">
      <c r="A49" s="1">
        <v>39447</v>
      </c>
      <c r="B49">
        <v>0.1641162753711958</v>
      </c>
      <c r="C49">
        <v>0.42770407772798402</v>
      </c>
      <c r="D49">
        <v>0.40817964690082009</v>
      </c>
    </row>
    <row r="50" spans="1:4" x14ac:dyDescent="0.35">
      <c r="A50" s="1">
        <v>39478</v>
      </c>
      <c r="B50">
        <v>4.2950312146094363E-2</v>
      </c>
      <c r="C50">
        <v>0.93032363644286997</v>
      </c>
      <c r="D50">
        <v>2.6726051411035689E-2</v>
      </c>
    </row>
    <row r="51" spans="1:4" x14ac:dyDescent="0.35">
      <c r="A51" s="1">
        <v>39507</v>
      </c>
      <c r="B51">
        <v>0.94707012128124513</v>
      </c>
      <c r="C51">
        <v>3.7226943944619158E-5</v>
      </c>
      <c r="D51">
        <v>5.2892651774810298E-2</v>
      </c>
    </row>
    <row r="52" spans="1:4" x14ac:dyDescent="0.35">
      <c r="A52" s="1">
        <v>39538</v>
      </c>
      <c r="B52">
        <v>0.53311068225077285</v>
      </c>
      <c r="C52">
        <v>0.12736617572788159</v>
      </c>
      <c r="D52">
        <v>0.33952314202134559</v>
      </c>
    </row>
    <row r="53" spans="1:4" x14ac:dyDescent="0.35">
      <c r="A53" s="1">
        <v>39568</v>
      </c>
      <c r="B53">
        <v>1.100871387782347E-3</v>
      </c>
      <c r="C53">
        <v>0.68451352776157037</v>
      </c>
      <c r="D53">
        <v>0.31438560085064721</v>
      </c>
    </row>
    <row r="54" spans="1:4" x14ac:dyDescent="0.35">
      <c r="A54" s="1">
        <v>39599</v>
      </c>
      <c r="B54">
        <v>0.45699894725122148</v>
      </c>
      <c r="C54">
        <v>0.37445196226482402</v>
      </c>
      <c r="D54">
        <v>0.1685490904839545</v>
      </c>
    </row>
    <row r="55" spans="1:4" x14ac:dyDescent="0.35">
      <c r="A55" s="1">
        <v>39629</v>
      </c>
      <c r="B55">
        <v>2.44334205462622E-3</v>
      </c>
      <c r="C55">
        <v>0.8867960659105909</v>
      </c>
      <c r="D55">
        <v>0.1107605920347829</v>
      </c>
    </row>
    <row r="56" spans="1:4" x14ac:dyDescent="0.35">
      <c r="A56" s="1">
        <v>39660</v>
      </c>
      <c r="B56">
        <v>7.4658262472758807E-2</v>
      </c>
      <c r="C56">
        <v>0.4764947746830534</v>
      </c>
      <c r="D56">
        <v>0.4488469628441879</v>
      </c>
    </row>
    <row r="57" spans="1:4" x14ac:dyDescent="0.35">
      <c r="A57" s="1">
        <v>39691</v>
      </c>
      <c r="B57">
        <v>0.15568010301233029</v>
      </c>
      <c r="C57">
        <v>3.8268692580950427E-2</v>
      </c>
      <c r="D57">
        <v>0.80605120440671918</v>
      </c>
    </row>
    <row r="58" spans="1:4" x14ac:dyDescent="0.35">
      <c r="A58" s="1">
        <v>39721</v>
      </c>
      <c r="B58">
        <v>2.49017537663345E-9</v>
      </c>
      <c r="C58">
        <v>1.6534946045444521E-2</v>
      </c>
      <c r="D58">
        <v>0.98346505146438001</v>
      </c>
    </row>
    <row r="59" spans="1:4" x14ac:dyDescent="0.35">
      <c r="A59" s="1">
        <v>39752</v>
      </c>
      <c r="B59">
        <v>0.33368895910801188</v>
      </c>
      <c r="C59">
        <v>0.66630794359218526</v>
      </c>
      <c r="D59">
        <v>3.0972998027845328E-6</v>
      </c>
    </row>
    <row r="60" spans="1:4" x14ac:dyDescent="0.35">
      <c r="A60" s="1">
        <v>39782</v>
      </c>
      <c r="B60">
        <v>0.999999959018818</v>
      </c>
      <c r="C60">
        <v>2.5303308405262669E-8</v>
      </c>
      <c r="D60">
        <v>1.5677873636868349E-8</v>
      </c>
    </row>
    <row r="61" spans="1:4" x14ac:dyDescent="0.35">
      <c r="A61" s="1">
        <v>39813</v>
      </c>
      <c r="B61">
        <v>0.99999844119294945</v>
      </c>
      <c r="C61">
        <v>4.1632037784578992E-8</v>
      </c>
      <c r="D61">
        <v>1.517175012669976E-6</v>
      </c>
    </row>
    <row r="62" spans="1:4" x14ac:dyDescent="0.35">
      <c r="A62" s="1">
        <v>39844</v>
      </c>
      <c r="B62">
        <v>0.9999999999999859</v>
      </c>
      <c r="C62">
        <v>1.4808967320125879E-17</v>
      </c>
      <c r="D62">
        <v>1.4137457126271629E-14</v>
      </c>
    </row>
    <row r="63" spans="1:4" x14ac:dyDescent="0.35">
      <c r="A63" s="1">
        <v>39872</v>
      </c>
      <c r="B63">
        <v>0.99999999999960421</v>
      </c>
      <c r="C63">
        <v>1.6201336528386351E-14</v>
      </c>
      <c r="D63">
        <v>3.796073734698762E-13</v>
      </c>
    </row>
    <row r="64" spans="1:4" x14ac:dyDescent="0.35">
      <c r="A64" s="1">
        <v>39903</v>
      </c>
      <c r="B64">
        <v>3.0399566419171142E-9</v>
      </c>
      <c r="C64">
        <v>0.99999999695424457</v>
      </c>
      <c r="D64">
        <v>5.7988895540734387E-12</v>
      </c>
    </row>
    <row r="65" spans="1:4" x14ac:dyDescent="0.35">
      <c r="A65" s="1">
        <v>39933</v>
      </c>
      <c r="B65">
        <v>1.0045112287778019E-21</v>
      </c>
      <c r="C65">
        <v>1</v>
      </c>
      <c r="D65">
        <v>1.437805178200504E-22</v>
      </c>
    </row>
    <row r="66" spans="1:4" x14ac:dyDescent="0.35">
      <c r="A66" s="1">
        <v>39964</v>
      </c>
      <c r="B66">
        <v>2.3700199221673629E-8</v>
      </c>
      <c r="C66">
        <v>4.2140624139772618E-8</v>
      </c>
      <c r="D66">
        <v>0.99999993415917665</v>
      </c>
    </row>
    <row r="67" spans="1:4" x14ac:dyDescent="0.35">
      <c r="A67" s="1">
        <v>39994</v>
      </c>
      <c r="B67">
        <v>1.986839345613356E-2</v>
      </c>
      <c r="C67">
        <v>0.97472815254689382</v>
      </c>
      <c r="D67">
        <v>5.4034539969725756E-3</v>
      </c>
    </row>
    <row r="68" spans="1:4" x14ac:dyDescent="0.35">
      <c r="A68" s="1">
        <v>40025</v>
      </c>
      <c r="B68">
        <v>4.9789029437920247E-2</v>
      </c>
      <c r="C68">
        <v>0.1586281632836643</v>
      </c>
      <c r="D68">
        <v>0.79158280727841557</v>
      </c>
    </row>
    <row r="69" spans="1:4" x14ac:dyDescent="0.35">
      <c r="A69" s="1">
        <v>40056</v>
      </c>
      <c r="B69">
        <v>2.0095791527148691E-2</v>
      </c>
      <c r="C69">
        <v>0.9793872933258928</v>
      </c>
      <c r="D69">
        <v>5.1691514695843376E-4</v>
      </c>
    </row>
    <row r="70" spans="1:4" x14ac:dyDescent="0.35">
      <c r="A70" s="1">
        <v>40086</v>
      </c>
      <c r="B70">
        <v>2.0123919227127088E-2</v>
      </c>
      <c r="C70">
        <v>0.97979249462871021</v>
      </c>
      <c r="D70">
        <v>8.3586144162657447E-5</v>
      </c>
    </row>
    <row r="71" spans="1:4" x14ac:dyDescent="0.35">
      <c r="A71" s="1">
        <v>40117</v>
      </c>
      <c r="B71">
        <v>3.2294716799729739E-11</v>
      </c>
      <c r="C71">
        <v>5.6545483246641201E-2</v>
      </c>
      <c r="D71">
        <v>0.94345451672106417</v>
      </c>
    </row>
    <row r="72" spans="1:4" x14ac:dyDescent="0.35">
      <c r="A72" s="1">
        <v>40147</v>
      </c>
      <c r="B72">
        <v>2.024369614321974E-2</v>
      </c>
      <c r="C72">
        <v>0.97958644391062999</v>
      </c>
      <c r="D72">
        <v>1.6985994615016119E-4</v>
      </c>
    </row>
    <row r="73" spans="1:4" x14ac:dyDescent="0.35">
      <c r="A73" s="1">
        <v>40178</v>
      </c>
      <c r="B73">
        <v>2.0061806088869229E-2</v>
      </c>
      <c r="C73">
        <v>0.97962289609057329</v>
      </c>
      <c r="D73">
        <v>3.1529782055754208E-4</v>
      </c>
    </row>
    <row r="74" spans="1:4" x14ac:dyDescent="0.35">
      <c r="A74" s="1">
        <v>40209</v>
      </c>
      <c r="B74">
        <v>8.8097756247090858E-13</v>
      </c>
      <c r="C74">
        <v>5.5897882624715477E-2</v>
      </c>
      <c r="D74">
        <v>0.94410211737440364</v>
      </c>
    </row>
    <row r="75" spans="1:4" x14ac:dyDescent="0.35">
      <c r="A75" s="1">
        <v>40237</v>
      </c>
      <c r="B75">
        <v>2.022189652833915E-2</v>
      </c>
      <c r="C75">
        <v>0.97960756567307639</v>
      </c>
      <c r="D75">
        <v>1.705377985844836E-4</v>
      </c>
    </row>
    <row r="76" spans="1:4" x14ac:dyDescent="0.35">
      <c r="A76" s="1">
        <v>40268</v>
      </c>
      <c r="B76">
        <v>2.923975288509176E-5</v>
      </c>
      <c r="C76">
        <v>3.8951099809873539E-2</v>
      </c>
      <c r="D76">
        <v>0.96101966043724141</v>
      </c>
    </row>
    <row r="77" spans="1:4" x14ac:dyDescent="0.35">
      <c r="A77" s="1">
        <v>40298</v>
      </c>
      <c r="B77">
        <v>5.4950214497773389E-2</v>
      </c>
      <c r="C77">
        <v>1.565037627585905E-9</v>
      </c>
      <c r="D77">
        <v>0.94504978393718897</v>
      </c>
    </row>
    <row r="78" spans="1:4" x14ac:dyDescent="0.35">
      <c r="A78" s="1">
        <v>40329</v>
      </c>
      <c r="B78">
        <v>0.15713325733011591</v>
      </c>
      <c r="C78">
        <v>0.39247202691676752</v>
      </c>
      <c r="D78">
        <v>0.45039471575311663</v>
      </c>
    </row>
    <row r="79" spans="1:4" x14ac:dyDescent="0.35">
      <c r="A79" s="1">
        <v>40359</v>
      </c>
      <c r="B79">
        <v>0.18465715745450401</v>
      </c>
      <c r="C79">
        <v>0.4839222248980144</v>
      </c>
      <c r="D79">
        <v>0.33142061764748149</v>
      </c>
    </row>
    <row r="80" spans="1:4" x14ac:dyDescent="0.35">
      <c r="A80" s="1">
        <v>40390</v>
      </c>
      <c r="B80">
        <v>6.1882660384282279E-2</v>
      </c>
      <c r="C80">
        <v>4.9185054163034571E-3</v>
      </c>
      <c r="D80">
        <v>0.9331988341994143</v>
      </c>
    </row>
    <row r="81" spans="1:4" x14ac:dyDescent="0.35">
      <c r="A81" s="1">
        <v>40421</v>
      </c>
      <c r="B81">
        <v>0.94426709417388655</v>
      </c>
      <c r="C81">
        <v>2.792340183633744E-3</v>
      </c>
      <c r="D81">
        <v>5.2940565642479662E-2</v>
      </c>
    </row>
    <row r="82" spans="1:4" x14ac:dyDescent="0.35">
      <c r="A82" s="1">
        <v>40451</v>
      </c>
      <c r="B82">
        <v>6.8564364080112049E-4</v>
      </c>
      <c r="C82">
        <v>9.8390319048002231E-2</v>
      </c>
      <c r="D82">
        <v>0.90092403731119675</v>
      </c>
    </row>
    <row r="83" spans="1:4" x14ac:dyDescent="0.35">
      <c r="A83" s="1">
        <v>40482</v>
      </c>
      <c r="B83">
        <v>5.3331751057572298E-2</v>
      </c>
      <c r="C83">
        <v>3.1562631990823279E-7</v>
      </c>
      <c r="D83">
        <v>0.94666793331610777</v>
      </c>
    </row>
    <row r="84" spans="1:4" x14ac:dyDescent="0.35">
      <c r="A84" s="1">
        <v>40512</v>
      </c>
      <c r="B84">
        <v>5.1869716567259708E-2</v>
      </c>
      <c r="C84">
        <v>1.0475346540667631E-8</v>
      </c>
      <c r="D84">
        <v>0.94813027295739383</v>
      </c>
    </row>
    <row r="85" spans="1:4" x14ac:dyDescent="0.35">
      <c r="A85" s="1">
        <v>40543</v>
      </c>
      <c r="B85">
        <v>8.1839965948554999E-2</v>
      </c>
      <c r="C85">
        <v>1.0709653227710031E-9</v>
      </c>
      <c r="D85">
        <v>0.91816003298047977</v>
      </c>
    </row>
    <row r="86" spans="1:4" x14ac:dyDescent="0.35">
      <c r="A86" s="1">
        <v>40574</v>
      </c>
      <c r="B86">
        <v>8.1438452474891551E-2</v>
      </c>
      <c r="C86">
        <v>4.4746228975196676E-9</v>
      </c>
      <c r="D86">
        <v>0.91856154305048565</v>
      </c>
    </row>
    <row r="87" spans="1:4" x14ac:dyDescent="0.35">
      <c r="A87" s="1">
        <v>40602</v>
      </c>
      <c r="B87">
        <v>4.6123675877740258E-2</v>
      </c>
      <c r="C87">
        <v>5.5662463003412568E-8</v>
      </c>
      <c r="D87">
        <v>0.95387626845979678</v>
      </c>
    </row>
    <row r="88" spans="1:4" x14ac:dyDescent="0.35">
      <c r="A88" s="1">
        <v>40633</v>
      </c>
      <c r="B88">
        <v>4.9907353260674768E-2</v>
      </c>
      <c r="C88">
        <v>1.135565057303437E-10</v>
      </c>
      <c r="D88">
        <v>0.95009264662576876</v>
      </c>
    </row>
    <row r="89" spans="1:4" x14ac:dyDescent="0.35">
      <c r="A89" s="1">
        <v>40663</v>
      </c>
      <c r="B89">
        <v>4.3264836281533617E-2</v>
      </c>
      <c r="C89">
        <v>3.2799294962042751E-2</v>
      </c>
      <c r="D89">
        <v>0.92393586875642353</v>
      </c>
    </row>
    <row r="90" spans="1:4" x14ac:dyDescent="0.35">
      <c r="A90" s="1">
        <v>40694</v>
      </c>
      <c r="B90">
        <v>5.0281122906763662E-2</v>
      </c>
      <c r="C90">
        <v>8.3404438145375275E-14</v>
      </c>
      <c r="D90">
        <v>0.94971887709315295</v>
      </c>
    </row>
    <row r="91" spans="1:4" x14ac:dyDescent="0.35">
      <c r="A91" s="1">
        <v>40724</v>
      </c>
      <c r="B91">
        <v>4.2645930636440788E-2</v>
      </c>
      <c r="C91">
        <v>1.1966585103677829E-8</v>
      </c>
      <c r="D91">
        <v>0.9573540573969741</v>
      </c>
    </row>
    <row r="92" spans="1:4" x14ac:dyDescent="0.35">
      <c r="A92" s="1">
        <v>40755</v>
      </c>
      <c r="B92">
        <v>4.6536699360829673E-2</v>
      </c>
      <c r="C92">
        <v>4.4141279227952469E-12</v>
      </c>
      <c r="D92">
        <v>0.95346330063475626</v>
      </c>
    </row>
    <row r="93" spans="1:4" x14ac:dyDescent="0.35">
      <c r="A93" s="1">
        <v>40786</v>
      </c>
      <c r="B93">
        <v>0.1997638707049666</v>
      </c>
      <c r="C93">
        <v>1.675526882580039E-2</v>
      </c>
      <c r="D93">
        <v>0.78348086046923315</v>
      </c>
    </row>
    <row r="94" spans="1:4" x14ac:dyDescent="0.35">
      <c r="A94" s="1">
        <v>40816</v>
      </c>
      <c r="B94">
        <v>0.11353718683806691</v>
      </c>
      <c r="C94">
        <v>0.26574507838360739</v>
      </c>
      <c r="D94">
        <v>0.62071773477832559</v>
      </c>
    </row>
    <row r="95" spans="1:4" x14ac:dyDescent="0.35">
      <c r="A95" s="1">
        <v>40847</v>
      </c>
      <c r="B95">
        <v>1.5193777570639529E-3</v>
      </c>
      <c r="C95">
        <v>3.4260569418671713E-2</v>
      </c>
      <c r="D95">
        <v>0.96422005282426437</v>
      </c>
    </row>
    <row r="96" spans="1:4" x14ac:dyDescent="0.35">
      <c r="A96" s="1">
        <v>40877</v>
      </c>
      <c r="B96">
        <v>4.0377151317950492E-2</v>
      </c>
      <c r="C96">
        <v>0.93255106972380641</v>
      </c>
      <c r="D96">
        <v>2.707177895824308E-2</v>
      </c>
    </row>
    <row r="97" spans="1:4" x14ac:dyDescent="0.35">
      <c r="A97" s="1">
        <v>40908</v>
      </c>
      <c r="B97">
        <v>5.0436816074925728E-2</v>
      </c>
      <c r="C97">
        <v>1.660147890781968E-6</v>
      </c>
      <c r="D97">
        <v>0.9495615237771835</v>
      </c>
    </row>
    <row r="98" spans="1:4" x14ac:dyDescent="0.35">
      <c r="A98" s="1">
        <v>40939</v>
      </c>
      <c r="B98">
        <v>5.0850628925875233E-2</v>
      </c>
      <c r="C98">
        <v>3.1539917141502611E-8</v>
      </c>
      <c r="D98">
        <v>0.94914933953420766</v>
      </c>
    </row>
    <row r="99" spans="1:4" x14ac:dyDescent="0.35">
      <c r="A99" s="1">
        <v>40968</v>
      </c>
      <c r="B99">
        <v>8.7756148855176078E-7</v>
      </c>
      <c r="C99">
        <v>2.0518917382440809E-2</v>
      </c>
      <c r="D99">
        <v>0.97948020505607059</v>
      </c>
    </row>
    <row r="100" spans="1:4" x14ac:dyDescent="0.35">
      <c r="A100" s="1">
        <v>40999</v>
      </c>
      <c r="B100">
        <v>1.463375842155762E-10</v>
      </c>
      <c r="C100">
        <v>8.913451360897312E-2</v>
      </c>
      <c r="D100">
        <v>0.91086548624468933</v>
      </c>
    </row>
    <row r="101" spans="1:4" x14ac:dyDescent="0.35">
      <c r="A101" s="1">
        <v>41029</v>
      </c>
      <c r="B101">
        <v>5.2769442059396349E-2</v>
      </c>
      <c r="C101">
        <v>4.1489445721248821E-9</v>
      </c>
      <c r="D101">
        <v>0.9472305537916591</v>
      </c>
    </row>
    <row r="102" spans="1:4" x14ac:dyDescent="0.35">
      <c r="A102" s="1">
        <v>41060</v>
      </c>
      <c r="B102">
        <v>4.4098412323692701E-2</v>
      </c>
      <c r="C102">
        <v>5.8377874053770741E-2</v>
      </c>
      <c r="D102">
        <v>0.89752371362253658</v>
      </c>
    </row>
    <row r="103" spans="1:4" x14ac:dyDescent="0.35">
      <c r="A103" s="1">
        <v>41090</v>
      </c>
      <c r="B103">
        <v>1.157873114528289E-3</v>
      </c>
      <c r="C103">
        <v>0.1085554566108754</v>
      </c>
      <c r="D103">
        <v>0.89028667027459629</v>
      </c>
    </row>
    <row r="104" spans="1:4" x14ac:dyDescent="0.35">
      <c r="A104" s="1">
        <v>41121</v>
      </c>
      <c r="B104">
        <v>1.0434050286394359E-4</v>
      </c>
      <c r="C104">
        <v>2.0223316670690279E-2</v>
      </c>
      <c r="D104">
        <v>0.97967234282644577</v>
      </c>
    </row>
    <row r="105" spans="1:4" x14ac:dyDescent="0.35">
      <c r="A105" s="1">
        <v>41152</v>
      </c>
      <c r="B105">
        <v>6.405407739723519E-2</v>
      </c>
      <c r="C105">
        <v>8.6600530046680717E-7</v>
      </c>
      <c r="D105">
        <v>0.93594505659746441</v>
      </c>
    </row>
    <row r="106" spans="1:4" x14ac:dyDescent="0.35">
      <c r="A106" s="1">
        <v>41182</v>
      </c>
      <c r="B106">
        <v>6.2267313499198076E-7</v>
      </c>
      <c r="C106">
        <v>0.10236173307881249</v>
      </c>
      <c r="D106">
        <v>0.89763764424805248</v>
      </c>
    </row>
    <row r="107" spans="1:4" x14ac:dyDescent="0.35">
      <c r="A107" s="1">
        <v>41213</v>
      </c>
      <c r="B107">
        <v>1.468278793238098E-5</v>
      </c>
      <c r="C107">
        <v>0.13424191596081031</v>
      </c>
      <c r="D107">
        <v>0.86574340125125726</v>
      </c>
    </row>
    <row r="108" spans="1:4" x14ac:dyDescent="0.35">
      <c r="A108" s="1">
        <v>41243</v>
      </c>
      <c r="B108">
        <v>1.184308634912877E-2</v>
      </c>
      <c r="C108">
        <v>4.6587802320795749E-2</v>
      </c>
      <c r="D108">
        <v>0.94156911133007548</v>
      </c>
    </row>
    <row r="109" spans="1:4" x14ac:dyDescent="0.35">
      <c r="A109" s="1">
        <v>41274</v>
      </c>
      <c r="B109">
        <v>5.3911475254761964E-4</v>
      </c>
      <c r="C109">
        <v>3.3038815917770831E-2</v>
      </c>
      <c r="D109">
        <v>0.96642206932968144</v>
      </c>
    </row>
    <row r="110" spans="1:4" x14ac:dyDescent="0.35">
      <c r="A110" s="1">
        <v>41305</v>
      </c>
      <c r="B110">
        <v>6.7738129500854953E-6</v>
      </c>
      <c r="C110">
        <v>2.1955416704200401E-2</v>
      </c>
      <c r="D110">
        <v>0.97803780948284946</v>
      </c>
    </row>
    <row r="111" spans="1:4" x14ac:dyDescent="0.35">
      <c r="A111" s="1">
        <v>41333</v>
      </c>
      <c r="B111">
        <v>6.2456897363815613E-11</v>
      </c>
      <c r="C111">
        <v>0.10635312939298</v>
      </c>
      <c r="D111">
        <v>0.89364687054456315</v>
      </c>
    </row>
    <row r="112" spans="1:4" x14ac:dyDescent="0.35">
      <c r="A112" s="1">
        <v>41364</v>
      </c>
      <c r="B112">
        <v>3.7411639426360532E-15</v>
      </c>
      <c r="C112">
        <v>0.1059751333380541</v>
      </c>
      <c r="D112">
        <v>0.89402486666194214</v>
      </c>
    </row>
    <row r="113" spans="1:4" x14ac:dyDescent="0.35">
      <c r="A113" s="1">
        <v>41394</v>
      </c>
      <c r="B113">
        <v>4.5239275724806613E-8</v>
      </c>
      <c r="C113">
        <v>5.7766499893354228E-11</v>
      </c>
      <c r="D113">
        <v>0.99999995470295788</v>
      </c>
    </row>
    <row r="114" spans="1:4" x14ac:dyDescent="0.35">
      <c r="A114" s="1">
        <v>41425</v>
      </c>
      <c r="B114">
        <v>2.0448805602728669E-5</v>
      </c>
      <c r="C114">
        <v>7.9993562797140705E-2</v>
      </c>
      <c r="D114">
        <v>0.91998598839725665</v>
      </c>
    </row>
    <row r="115" spans="1:4" x14ac:dyDescent="0.35">
      <c r="A115" s="1">
        <v>41455</v>
      </c>
      <c r="B115">
        <v>1.277456816383867E-4</v>
      </c>
      <c r="C115">
        <v>5.6723562676935312E-2</v>
      </c>
      <c r="D115">
        <v>0.94314869164142634</v>
      </c>
    </row>
    <row r="116" spans="1:4" x14ac:dyDescent="0.35">
      <c r="A116" s="1">
        <v>41486</v>
      </c>
      <c r="B116">
        <v>3.1844688620588362E-7</v>
      </c>
      <c r="C116">
        <v>2.9194358549669921E-6</v>
      </c>
      <c r="D116">
        <v>0.99999676211725885</v>
      </c>
    </row>
    <row r="117" spans="1:4" x14ac:dyDescent="0.35">
      <c r="A117" s="1">
        <v>41517</v>
      </c>
      <c r="B117">
        <v>3.7790724351837901E-8</v>
      </c>
      <c r="C117">
        <v>3.5574486781333221E-9</v>
      </c>
      <c r="D117">
        <v>0.999999958651827</v>
      </c>
    </row>
    <row r="118" spans="1:4" x14ac:dyDescent="0.35">
      <c r="A118" s="1">
        <v>41547</v>
      </c>
      <c r="B118">
        <v>5.6448309061329041E-2</v>
      </c>
      <c r="C118">
        <v>7.0612018561024654E-4</v>
      </c>
      <c r="D118">
        <v>0.94284557075306064</v>
      </c>
    </row>
    <row r="119" spans="1:4" x14ac:dyDescent="0.35">
      <c r="A119" s="1">
        <v>41578</v>
      </c>
      <c r="B119">
        <v>4.7324824344205617E-2</v>
      </c>
      <c r="C119">
        <v>0.95264743750564229</v>
      </c>
      <c r="D119">
        <v>2.7738150152133749E-5</v>
      </c>
    </row>
    <row r="120" spans="1:4" x14ac:dyDescent="0.35">
      <c r="A120" s="1">
        <v>41608</v>
      </c>
      <c r="B120">
        <v>4.8433895065870647E-2</v>
      </c>
      <c r="C120">
        <v>0.95155058518257174</v>
      </c>
      <c r="D120">
        <v>1.5519751557626922E-5</v>
      </c>
    </row>
    <row r="121" spans="1:4" x14ac:dyDescent="0.35">
      <c r="A121" s="1">
        <v>41639</v>
      </c>
      <c r="B121">
        <v>3.2480012099030429E-4</v>
      </c>
      <c r="C121">
        <v>4.7128354697636127E-2</v>
      </c>
      <c r="D121">
        <v>0.95254684518137356</v>
      </c>
    </row>
    <row r="122" spans="1:4" x14ac:dyDescent="0.35">
      <c r="A122" s="1">
        <v>41670</v>
      </c>
      <c r="B122">
        <v>5.0305600581084749E-2</v>
      </c>
      <c r="C122">
        <v>0.94546518651227918</v>
      </c>
      <c r="D122">
        <v>4.2292129066359716E-3</v>
      </c>
    </row>
    <row r="123" spans="1:4" x14ac:dyDescent="0.35">
      <c r="A123" s="1">
        <v>41698</v>
      </c>
      <c r="B123">
        <v>4.6725275816878173E-2</v>
      </c>
      <c r="C123">
        <v>0.95300316400881602</v>
      </c>
      <c r="D123">
        <v>2.7156017430590289E-4</v>
      </c>
    </row>
    <row r="124" spans="1:4" x14ac:dyDescent="0.35">
      <c r="A124" s="1">
        <v>41729</v>
      </c>
      <c r="B124">
        <v>4.5402034546410987E-2</v>
      </c>
      <c r="C124">
        <v>0.95451470905790758</v>
      </c>
      <c r="D124">
        <v>8.3256395681364224E-5</v>
      </c>
    </row>
    <row r="125" spans="1:4" x14ac:dyDescent="0.35">
      <c r="A125" s="1">
        <v>41759</v>
      </c>
      <c r="B125">
        <v>5.0729937599638383E-2</v>
      </c>
      <c r="C125">
        <v>0.94896854686758281</v>
      </c>
      <c r="D125">
        <v>3.0151553277875501E-4</v>
      </c>
    </row>
    <row r="126" spans="1:4" x14ac:dyDescent="0.35">
      <c r="A126" s="1">
        <v>41790</v>
      </c>
      <c r="B126">
        <v>4.7725051013154017E-2</v>
      </c>
      <c r="C126">
        <v>0.95222584203296012</v>
      </c>
      <c r="D126">
        <v>4.9106953885831753E-5</v>
      </c>
    </row>
    <row r="127" spans="1:4" x14ac:dyDescent="0.35">
      <c r="A127" s="1">
        <v>41820</v>
      </c>
      <c r="B127">
        <v>5.3533601616273227E-2</v>
      </c>
      <c r="C127">
        <v>0.94631665594713332</v>
      </c>
      <c r="D127">
        <v>1.4974243659350689E-4</v>
      </c>
    </row>
    <row r="128" spans="1:4" x14ac:dyDescent="0.35">
      <c r="A128" s="1">
        <v>41851</v>
      </c>
      <c r="B128">
        <v>4.8034133388095063E-2</v>
      </c>
      <c r="C128">
        <v>0.95196583646581845</v>
      </c>
      <c r="D128">
        <v>3.014608646606115E-8</v>
      </c>
    </row>
    <row r="129" spans="1:4" x14ac:dyDescent="0.35">
      <c r="A129" s="1">
        <v>41882</v>
      </c>
      <c r="B129">
        <v>4.712926138604779E-2</v>
      </c>
      <c r="C129">
        <v>0.95287073202578154</v>
      </c>
      <c r="D129">
        <v>6.5881706942828219E-9</v>
      </c>
    </row>
    <row r="130" spans="1:4" x14ac:dyDescent="0.35">
      <c r="A130" s="1">
        <v>41912</v>
      </c>
      <c r="B130">
        <v>4.8749074352875503E-2</v>
      </c>
      <c r="C130">
        <v>0.95112274701114619</v>
      </c>
      <c r="D130">
        <v>1.2817863597838511E-4</v>
      </c>
    </row>
    <row r="131" spans="1:4" x14ac:dyDescent="0.35">
      <c r="A131" s="1">
        <v>41943</v>
      </c>
      <c r="B131">
        <v>5.4717289866962393E-2</v>
      </c>
      <c r="C131">
        <v>0.94513061603803272</v>
      </c>
      <c r="D131">
        <v>1.5209409500489769E-4</v>
      </c>
    </row>
    <row r="132" spans="1:4" x14ac:dyDescent="0.35">
      <c r="A132" s="1">
        <v>41973</v>
      </c>
      <c r="B132">
        <v>1.503173387178438E-4</v>
      </c>
      <c r="C132">
        <v>4.8258364449459142E-2</v>
      </c>
      <c r="D132">
        <v>0.95159131821182297</v>
      </c>
    </row>
    <row r="133" spans="1:4" x14ac:dyDescent="0.35">
      <c r="A133" s="1">
        <v>42004</v>
      </c>
      <c r="B133">
        <v>6.4787857080221889E-2</v>
      </c>
      <c r="C133">
        <v>0.93517844180914989</v>
      </c>
      <c r="D133">
        <v>3.3701110628276357E-5</v>
      </c>
    </row>
    <row r="134" spans="1:4" x14ac:dyDescent="0.35">
      <c r="A134" s="1">
        <v>42035</v>
      </c>
      <c r="B134">
        <v>0.15095869338594281</v>
      </c>
      <c r="C134">
        <v>0.66168554885549691</v>
      </c>
      <c r="D134">
        <v>0.18735575775856039</v>
      </c>
    </row>
    <row r="135" spans="1:4" x14ac:dyDescent="0.35">
      <c r="A135" s="1">
        <v>42063</v>
      </c>
      <c r="B135">
        <v>0.18536070316702991</v>
      </c>
      <c r="C135">
        <v>0.81462356544367132</v>
      </c>
      <c r="D135">
        <v>1.5731389298894511E-5</v>
      </c>
    </row>
    <row r="136" spans="1:4" x14ac:dyDescent="0.35">
      <c r="A136" s="1">
        <v>42094</v>
      </c>
      <c r="B136">
        <v>7.4881078062709688E-2</v>
      </c>
      <c r="C136">
        <v>0.92474733065732972</v>
      </c>
      <c r="D136">
        <v>3.7159127996059382E-4</v>
      </c>
    </row>
    <row r="137" spans="1:4" x14ac:dyDescent="0.35">
      <c r="A137" s="1">
        <v>42124</v>
      </c>
      <c r="B137">
        <v>3.7674493358601069E-2</v>
      </c>
      <c r="C137">
        <v>0.96227872958832328</v>
      </c>
      <c r="D137">
        <v>4.6777053075665407E-5</v>
      </c>
    </row>
    <row r="138" spans="1:4" x14ac:dyDescent="0.35">
      <c r="A138" s="1">
        <v>42155</v>
      </c>
      <c r="B138">
        <v>4.5960185494564647E-2</v>
      </c>
      <c r="C138">
        <v>0.95403887711052615</v>
      </c>
      <c r="D138">
        <v>9.3739490925623591E-7</v>
      </c>
    </row>
    <row r="139" spans="1:4" x14ac:dyDescent="0.35">
      <c r="A139" s="1">
        <v>42185</v>
      </c>
      <c r="B139">
        <v>4.717818623619903E-2</v>
      </c>
      <c r="C139">
        <v>0.95279981061046493</v>
      </c>
      <c r="D139">
        <v>2.2003153336001261E-5</v>
      </c>
    </row>
    <row r="140" spans="1:4" x14ac:dyDescent="0.35">
      <c r="A140" s="1">
        <v>42216</v>
      </c>
      <c r="B140">
        <v>5.230110461742446E-2</v>
      </c>
      <c r="C140">
        <v>0.94436842720899095</v>
      </c>
      <c r="D140">
        <v>3.3304681735846528E-3</v>
      </c>
    </row>
    <row r="141" spans="1:4" x14ac:dyDescent="0.35">
      <c r="A141" s="1">
        <v>42247</v>
      </c>
      <c r="B141">
        <v>0.20435504971494739</v>
      </c>
      <c r="C141">
        <v>0.55913317813860208</v>
      </c>
      <c r="D141">
        <v>0.23651177214645061</v>
      </c>
    </row>
    <row r="142" spans="1:4" x14ac:dyDescent="0.35">
      <c r="A142" s="1">
        <v>42277</v>
      </c>
      <c r="B142">
        <v>0.43263560220366881</v>
      </c>
      <c r="C142">
        <v>4.8174471797756267E-2</v>
      </c>
      <c r="D142">
        <v>0.51918992599857494</v>
      </c>
    </row>
    <row r="143" spans="1:4" x14ac:dyDescent="0.35">
      <c r="A143" s="1">
        <v>42308</v>
      </c>
      <c r="B143">
        <v>3.0188884650862122E-4</v>
      </c>
      <c r="C143">
        <v>0.99966576394012929</v>
      </c>
      <c r="D143">
        <v>3.2347213362074028E-5</v>
      </c>
    </row>
    <row r="144" spans="1:4" x14ac:dyDescent="0.35">
      <c r="A144" s="1">
        <v>42338</v>
      </c>
      <c r="B144">
        <v>9.8191182764826621E-2</v>
      </c>
      <c r="C144">
        <v>0.90180731504591682</v>
      </c>
      <c r="D144">
        <v>1.50218925656741E-6</v>
      </c>
    </row>
    <row r="145" spans="1:4" x14ac:dyDescent="0.35">
      <c r="A145" s="1">
        <v>42369</v>
      </c>
      <c r="B145">
        <v>9.6653088844778051E-2</v>
      </c>
      <c r="C145">
        <v>0.90151498527311114</v>
      </c>
      <c r="D145">
        <v>1.8319258821107929E-3</v>
      </c>
    </row>
    <row r="146" spans="1:4" x14ac:dyDescent="0.35">
      <c r="A146" s="1">
        <v>42400</v>
      </c>
      <c r="B146">
        <v>0.38930032409873683</v>
      </c>
      <c r="C146">
        <v>4.8988566624472062E-2</v>
      </c>
      <c r="D146">
        <v>0.56171110927679124</v>
      </c>
    </row>
    <row r="147" spans="1:4" x14ac:dyDescent="0.35">
      <c r="A147" s="1">
        <v>42429</v>
      </c>
      <c r="B147">
        <v>0.17355266910309561</v>
      </c>
      <c r="C147">
        <v>0.45307854128794511</v>
      </c>
      <c r="D147">
        <v>0.37336878960895947</v>
      </c>
    </row>
    <row r="148" spans="1:4" x14ac:dyDescent="0.35">
      <c r="A148" s="1">
        <v>42460</v>
      </c>
      <c r="B148">
        <v>0.1113100429979637</v>
      </c>
      <c r="C148">
        <v>0.88868995623395319</v>
      </c>
      <c r="D148">
        <v>7.68083135540537E-10</v>
      </c>
    </row>
    <row r="149" spans="1:4" x14ac:dyDescent="0.35">
      <c r="A149" s="1">
        <v>42490</v>
      </c>
      <c r="B149">
        <v>0.13073726929471571</v>
      </c>
      <c r="C149">
        <v>0.86906962130640486</v>
      </c>
      <c r="D149">
        <v>1.9310939887955421E-4</v>
      </c>
    </row>
    <row r="150" spans="1:4" x14ac:dyDescent="0.35">
      <c r="A150" s="1">
        <v>42521</v>
      </c>
      <c r="B150">
        <v>0.14508524699055581</v>
      </c>
      <c r="C150">
        <v>0.60450344200063677</v>
      </c>
      <c r="D150">
        <v>0.25041131100880742</v>
      </c>
    </row>
    <row r="151" spans="1:4" x14ac:dyDescent="0.35">
      <c r="A151" s="1">
        <v>42551</v>
      </c>
      <c r="B151">
        <v>0.1503964749485712</v>
      </c>
      <c r="C151">
        <v>0.78572437811792017</v>
      </c>
      <c r="D151">
        <v>6.3879146933508615E-2</v>
      </c>
    </row>
    <row r="152" spans="1:4" x14ac:dyDescent="0.35">
      <c r="A152" s="1">
        <v>42582</v>
      </c>
      <c r="B152">
        <v>0.1068021917501636</v>
      </c>
      <c r="C152">
        <v>0.89285682132546684</v>
      </c>
      <c r="D152">
        <v>3.4098692436952959E-4</v>
      </c>
    </row>
    <row r="153" spans="1:4" x14ac:dyDescent="0.35">
      <c r="A153" s="1">
        <v>42613</v>
      </c>
      <c r="B153">
        <v>0.1074274210037538</v>
      </c>
      <c r="C153">
        <v>0.89150761562233105</v>
      </c>
      <c r="D153">
        <v>1.064963373915147E-3</v>
      </c>
    </row>
    <row r="154" spans="1:4" x14ac:dyDescent="0.35">
      <c r="A154" s="1">
        <v>42643</v>
      </c>
      <c r="B154">
        <v>0.3350331885690665</v>
      </c>
      <c r="C154">
        <v>0.5405066400534726</v>
      </c>
      <c r="D154">
        <v>0.124460171377461</v>
      </c>
    </row>
    <row r="155" spans="1:4" x14ac:dyDescent="0.35">
      <c r="A155" s="1">
        <v>42674</v>
      </c>
      <c r="B155">
        <v>0.1065850780289857</v>
      </c>
      <c r="C155">
        <v>0.88697392096304162</v>
      </c>
      <c r="D155">
        <v>6.4410010079727128E-3</v>
      </c>
    </row>
    <row r="156" spans="1:4" x14ac:dyDescent="0.35">
      <c r="A156" s="1">
        <v>42704</v>
      </c>
      <c r="B156">
        <v>9.4631993494030363E-3</v>
      </c>
      <c r="C156">
        <v>0.91408000889822494</v>
      </c>
      <c r="D156">
        <v>7.6456791752372133E-2</v>
      </c>
    </row>
    <row r="157" spans="1:4" x14ac:dyDescent="0.35">
      <c r="A157" s="1">
        <v>42735</v>
      </c>
      <c r="B157">
        <v>0.1242528047187219</v>
      </c>
      <c r="C157">
        <v>0.80368688260582666</v>
      </c>
      <c r="D157">
        <v>7.2060312675451349E-2</v>
      </c>
    </row>
    <row r="158" spans="1:4" x14ac:dyDescent="0.35">
      <c r="A158" s="1">
        <v>42766</v>
      </c>
      <c r="B158">
        <v>0.2100047471566896</v>
      </c>
      <c r="C158">
        <v>0.77445569102971556</v>
      </c>
      <c r="D158">
        <v>1.5539561813594919E-2</v>
      </c>
    </row>
    <row r="159" spans="1:4" x14ac:dyDescent="0.35">
      <c r="A159" s="1">
        <v>42794</v>
      </c>
      <c r="B159">
        <v>0.30460233614728738</v>
      </c>
      <c r="C159">
        <v>0.41771149801386948</v>
      </c>
      <c r="D159">
        <v>0.27768616583884309</v>
      </c>
    </row>
    <row r="160" spans="1:4" x14ac:dyDescent="0.35">
      <c r="A160" s="1">
        <v>42825</v>
      </c>
      <c r="B160">
        <v>0.1023043809105585</v>
      </c>
      <c r="C160">
        <v>0.80255134603948464</v>
      </c>
      <c r="D160">
        <v>9.5144273049956776E-2</v>
      </c>
    </row>
    <row r="161" spans="1:4" x14ac:dyDescent="0.35">
      <c r="A161" s="1">
        <v>42855</v>
      </c>
      <c r="B161">
        <v>9.5439592215296271E-2</v>
      </c>
      <c r="C161">
        <v>0.51516414418609946</v>
      </c>
      <c r="D161">
        <v>0.38939626359860419</v>
      </c>
    </row>
    <row r="162" spans="1:4" x14ac:dyDescent="0.35">
      <c r="A162" s="1">
        <v>42886</v>
      </c>
      <c r="B162">
        <v>0.17587663842503001</v>
      </c>
      <c r="C162">
        <v>0.2945689417439521</v>
      </c>
      <c r="D162">
        <v>0.52955441983101792</v>
      </c>
    </row>
    <row r="163" spans="1:4" x14ac:dyDescent="0.35">
      <c r="A163" s="1">
        <v>42916</v>
      </c>
      <c r="B163">
        <v>7.6464033859102512E-2</v>
      </c>
      <c r="C163">
        <v>0.5422660148201055</v>
      </c>
      <c r="D163">
        <v>0.381269951320792</v>
      </c>
    </row>
    <row r="164" spans="1:4" x14ac:dyDescent="0.35">
      <c r="A164" s="1">
        <v>42947</v>
      </c>
      <c r="B164">
        <v>0.26325393439768091</v>
      </c>
      <c r="C164">
        <v>0.65781879964314716</v>
      </c>
      <c r="D164">
        <v>7.8927265959171988E-2</v>
      </c>
    </row>
    <row r="165" spans="1:4" x14ac:dyDescent="0.35">
      <c r="A165" s="1">
        <v>42978</v>
      </c>
      <c r="B165">
        <v>0.47701122004332769</v>
      </c>
      <c r="C165">
        <v>0.21880014497249009</v>
      </c>
      <c r="D165">
        <v>0.30418863498418219</v>
      </c>
    </row>
    <row r="166" spans="1:4" x14ac:dyDescent="0.35">
      <c r="A166" s="1">
        <v>43008</v>
      </c>
      <c r="B166">
        <v>0.25197049002503391</v>
      </c>
      <c r="C166">
        <v>0.65390453157034001</v>
      </c>
      <c r="D166">
        <v>9.4124978404626219E-2</v>
      </c>
    </row>
    <row r="167" spans="1:4" x14ac:dyDescent="0.35">
      <c r="A167" s="1">
        <v>43039</v>
      </c>
      <c r="B167">
        <v>0.1045963321839281</v>
      </c>
      <c r="C167">
        <v>0.88922249629826178</v>
      </c>
      <c r="D167">
        <v>6.1811715178101446E-3</v>
      </c>
    </row>
    <row r="168" spans="1:4" x14ac:dyDescent="0.35">
      <c r="A168" s="1">
        <v>43069</v>
      </c>
      <c r="B168">
        <v>0.29382358611979997</v>
      </c>
      <c r="C168">
        <v>0.62897095394074931</v>
      </c>
      <c r="D168">
        <v>7.7205459939450827E-2</v>
      </c>
    </row>
    <row r="169" spans="1:4" x14ac:dyDescent="0.35">
      <c r="A169" s="1">
        <v>43100</v>
      </c>
      <c r="B169">
        <v>7.7723206622519581E-2</v>
      </c>
      <c r="C169">
        <v>0.87395818680477289</v>
      </c>
      <c r="D169">
        <v>4.8318606572707562E-2</v>
      </c>
    </row>
    <row r="170" spans="1:4" x14ac:dyDescent="0.35">
      <c r="A170" s="1">
        <v>43131</v>
      </c>
      <c r="B170">
        <v>0.1021545092681574</v>
      </c>
      <c r="C170">
        <v>0.75130491463749793</v>
      </c>
      <c r="D170">
        <v>0.14654057609434459</v>
      </c>
    </row>
    <row r="171" spans="1:4" x14ac:dyDescent="0.35">
      <c r="A171" s="1">
        <v>43159</v>
      </c>
      <c r="B171">
        <v>0.63856260385696562</v>
      </c>
      <c r="C171">
        <v>0.19879913700459859</v>
      </c>
      <c r="D171">
        <v>0.16263825913843591</v>
      </c>
    </row>
    <row r="172" spans="1:4" x14ac:dyDescent="0.35">
      <c r="A172" s="1">
        <v>43190</v>
      </c>
      <c r="B172">
        <v>0.1143179083939921</v>
      </c>
      <c r="C172">
        <v>0.60376173421388168</v>
      </c>
      <c r="D172">
        <v>0.28192035739212612</v>
      </c>
    </row>
    <row r="173" spans="1:4" x14ac:dyDescent="0.35">
      <c r="A173" s="1">
        <v>43220</v>
      </c>
      <c r="B173">
        <v>0.1937066066780056</v>
      </c>
      <c r="C173">
        <v>0.63932494623743041</v>
      </c>
      <c r="D173">
        <v>0.1669684470845641</v>
      </c>
    </row>
    <row r="174" spans="1:4" x14ac:dyDescent="0.35">
      <c r="A174" s="1">
        <v>43251</v>
      </c>
      <c r="B174">
        <v>8.7845766045588261E-2</v>
      </c>
      <c r="C174">
        <v>0.70952825626505167</v>
      </c>
      <c r="D174">
        <v>0.20262597768936011</v>
      </c>
    </row>
    <row r="175" spans="1:4" x14ac:dyDescent="0.35">
      <c r="A175" s="1">
        <v>43281</v>
      </c>
      <c r="B175">
        <v>0.11190705392329919</v>
      </c>
      <c r="C175">
        <v>0.13146752984473889</v>
      </c>
      <c r="D175">
        <v>0.756625416231962</v>
      </c>
    </row>
    <row r="176" spans="1:4" x14ac:dyDescent="0.35">
      <c r="A176" s="1">
        <v>43312</v>
      </c>
      <c r="B176">
        <v>0.30764447724806437</v>
      </c>
      <c r="C176">
        <v>0.46088417195758052</v>
      </c>
      <c r="D176">
        <v>0.23147135079435499</v>
      </c>
    </row>
    <row r="177" spans="1:4" x14ac:dyDescent="0.35">
      <c r="A177" s="1">
        <v>43343</v>
      </c>
      <c r="B177">
        <v>0.46663216888692588</v>
      </c>
      <c r="C177">
        <v>0.44217994676694272</v>
      </c>
      <c r="D177">
        <v>9.1187884346131384E-2</v>
      </c>
    </row>
    <row r="178" spans="1:4" x14ac:dyDescent="0.35">
      <c r="A178" s="1">
        <v>43373</v>
      </c>
      <c r="B178">
        <v>0.12893854360125451</v>
      </c>
      <c r="C178">
        <v>0.84133741402540119</v>
      </c>
      <c r="D178">
        <v>2.972404237334441E-2</v>
      </c>
    </row>
    <row r="179" spans="1:4" x14ac:dyDescent="0.35">
      <c r="A179" s="1">
        <v>43404</v>
      </c>
      <c r="B179">
        <v>0.16850014587271159</v>
      </c>
      <c r="C179">
        <v>0.32861709099918568</v>
      </c>
      <c r="D179">
        <v>0.50288276312810287</v>
      </c>
    </row>
    <row r="180" spans="1:4" x14ac:dyDescent="0.35">
      <c r="A180" s="1">
        <v>43434</v>
      </c>
      <c r="B180">
        <v>0.1051456849315269</v>
      </c>
      <c r="C180">
        <v>0.8399533406137496</v>
      </c>
      <c r="D180">
        <v>5.490097445472359E-2</v>
      </c>
    </row>
    <row r="181" spans="1:4" x14ac:dyDescent="0.35">
      <c r="A181" s="1">
        <v>43465</v>
      </c>
      <c r="B181">
        <v>0.18794343474497691</v>
      </c>
      <c r="C181">
        <v>0.47885732273096332</v>
      </c>
      <c r="D181">
        <v>0.3331992425240598</v>
      </c>
    </row>
    <row r="182" spans="1:4" x14ac:dyDescent="0.35">
      <c r="A182" s="1">
        <v>43496</v>
      </c>
      <c r="B182">
        <v>6.4049281262962786E-4</v>
      </c>
      <c r="C182">
        <v>0.99916844914905578</v>
      </c>
      <c r="D182">
        <v>1.9105803831448491E-4</v>
      </c>
    </row>
    <row r="183" spans="1:4" x14ac:dyDescent="0.35">
      <c r="A183" s="1">
        <v>43524</v>
      </c>
      <c r="B183">
        <v>0.1174245892461345</v>
      </c>
      <c r="C183">
        <v>0.83779953862146184</v>
      </c>
      <c r="D183">
        <v>4.4775872132403652E-2</v>
      </c>
    </row>
    <row r="184" spans="1:4" x14ac:dyDescent="0.35">
      <c r="A184" s="1">
        <v>43555</v>
      </c>
      <c r="B184">
        <v>0.1158434306194699</v>
      </c>
      <c r="C184">
        <v>0.83472407515371305</v>
      </c>
      <c r="D184">
        <v>4.943249422681719E-2</v>
      </c>
    </row>
    <row r="185" spans="1:4" x14ac:dyDescent="0.35">
      <c r="A185" s="1">
        <v>43585</v>
      </c>
      <c r="B185">
        <v>0.1074621454987628</v>
      </c>
      <c r="C185">
        <v>0.85240575251306416</v>
      </c>
      <c r="D185">
        <v>4.0132101988173123E-2</v>
      </c>
    </row>
    <row r="186" spans="1:4" x14ac:dyDescent="0.35">
      <c r="A186" s="1">
        <v>43616</v>
      </c>
      <c r="B186">
        <v>0.28397166069793772</v>
      </c>
      <c r="C186">
        <v>0.17741066177066969</v>
      </c>
      <c r="D186">
        <v>0.53861767753139267</v>
      </c>
    </row>
    <row r="187" spans="1:4" x14ac:dyDescent="0.35">
      <c r="A187" s="1">
        <v>43646</v>
      </c>
      <c r="B187">
        <v>8.1615227553312342E-3</v>
      </c>
      <c r="C187">
        <v>0.98904599081651012</v>
      </c>
      <c r="D187">
        <v>2.7924864281585631E-3</v>
      </c>
    </row>
    <row r="188" spans="1:4" x14ac:dyDescent="0.35">
      <c r="A188" s="1">
        <v>43677</v>
      </c>
      <c r="B188">
        <v>0.15022811076886791</v>
      </c>
      <c r="C188">
        <v>0.80888443580175629</v>
      </c>
      <c r="D188">
        <v>4.0887453429375838E-2</v>
      </c>
    </row>
    <row r="189" spans="1:4" x14ac:dyDescent="0.35">
      <c r="A189" s="1">
        <v>43708</v>
      </c>
      <c r="B189">
        <v>0.23616223273656131</v>
      </c>
      <c r="C189">
        <v>0.18216276536940779</v>
      </c>
      <c r="D189">
        <v>0.58167500189403099</v>
      </c>
    </row>
    <row r="190" spans="1:4" x14ac:dyDescent="0.35">
      <c r="A190" s="1">
        <v>43738</v>
      </c>
      <c r="B190">
        <v>0.1829514517149784</v>
      </c>
      <c r="C190">
        <v>0.76538141186822073</v>
      </c>
      <c r="D190">
        <v>5.1667136416800888E-2</v>
      </c>
    </row>
    <row r="191" spans="1:4" x14ac:dyDescent="0.35">
      <c r="A191" s="1">
        <v>43769</v>
      </c>
      <c r="B191">
        <v>0.18432202938023651</v>
      </c>
      <c r="C191">
        <v>0.7648278343344439</v>
      </c>
      <c r="D191">
        <v>5.0850136285319508E-2</v>
      </c>
    </row>
    <row r="192" spans="1:4" x14ac:dyDescent="0.35">
      <c r="A192" s="1">
        <v>43799</v>
      </c>
      <c r="B192">
        <v>0.17878916678040541</v>
      </c>
      <c r="C192">
        <v>0.77000645086738562</v>
      </c>
      <c r="D192">
        <v>5.1204382352208873E-2</v>
      </c>
    </row>
    <row r="193" spans="1:4" x14ac:dyDescent="0.35">
      <c r="A193" s="1">
        <v>43830</v>
      </c>
      <c r="B193">
        <v>0.21099153586413649</v>
      </c>
      <c r="C193">
        <v>0.74021801494686401</v>
      </c>
      <c r="D193">
        <v>4.8790449188999392E-2</v>
      </c>
    </row>
    <row r="194" spans="1:4" x14ac:dyDescent="0.35">
      <c r="A194" s="1">
        <v>43861</v>
      </c>
      <c r="B194">
        <v>9.7410554512017938E-2</v>
      </c>
      <c r="C194">
        <v>0.86778093588786154</v>
      </c>
      <c r="D194">
        <v>3.4808509600120607E-2</v>
      </c>
    </row>
    <row r="195" spans="1:4" x14ac:dyDescent="0.35">
      <c r="A195" s="1">
        <v>43890</v>
      </c>
      <c r="B195">
        <v>0.30716581886095051</v>
      </c>
      <c r="C195">
        <v>0.3725833397211139</v>
      </c>
      <c r="D195">
        <v>0.32025084141793558</v>
      </c>
    </row>
    <row r="196" spans="1:4" x14ac:dyDescent="0.35">
      <c r="A196" s="1">
        <v>43921</v>
      </c>
      <c r="B196">
        <v>0.48315836046499427</v>
      </c>
      <c r="C196">
        <v>0.22493827608201411</v>
      </c>
      <c r="D196">
        <v>0.29190336345299162</v>
      </c>
    </row>
    <row r="197" spans="1:4" x14ac:dyDescent="0.35">
      <c r="A197" s="1">
        <v>43951</v>
      </c>
      <c r="B197">
        <v>2.104675286808682E-2</v>
      </c>
      <c r="C197">
        <v>0.96326186291902016</v>
      </c>
      <c r="D197">
        <v>1.5691384212893081E-2</v>
      </c>
    </row>
    <row r="198" spans="1:4" x14ac:dyDescent="0.35">
      <c r="A198" s="1">
        <v>43982</v>
      </c>
      <c r="B198">
        <v>0.19330943449995061</v>
      </c>
      <c r="C198">
        <v>0.80088823019583599</v>
      </c>
      <c r="D198">
        <v>5.8023353042133E-3</v>
      </c>
    </row>
    <row r="199" spans="1:4" x14ac:dyDescent="0.35">
      <c r="A199" s="1">
        <v>44012</v>
      </c>
      <c r="B199">
        <v>0.26461935977180723</v>
      </c>
      <c r="C199">
        <v>0.72408041663983114</v>
      </c>
      <c r="D199">
        <v>1.130022358836167E-2</v>
      </c>
    </row>
    <row r="200" spans="1:4" x14ac:dyDescent="0.35">
      <c r="A200" s="1">
        <v>44043</v>
      </c>
      <c r="B200">
        <v>0.10866007385192809</v>
      </c>
      <c r="C200">
        <v>0.88712379431380128</v>
      </c>
      <c r="D200">
        <v>4.2161318342706392E-3</v>
      </c>
    </row>
    <row r="201" spans="1:4" x14ac:dyDescent="0.35">
      <c r="A201" s="1">
        <v>44074</v>
      </c>
      <c r="B201">
        <v>0.1034330621970115</v>
      </c>
      <c r="C201">
        <v>0.8932032509595631</v>
      </c>
      <c r="D201">
        <v>3.3636868434255541E-3</v>
      </c>
    </row>
    <row r="202" spans="1:4" x14ac:dyDescent="0.35">
      <c r="A202" s="1">
        <v>44104</v>
      </c>
      <c r="B202">
        <v>4.4663663291312238E-2</v>
      </c>
      <c r="C202">
        <v>0.95503628461421475</v>
      </c>
      <c r="D202">
        <v>3.0005209447306851E-4</v>
      </c>
    </row>
    <row r="203" spans="1:4" x14ac:dyDescent="0.35">
      <c r="A203" s="1">
        <v>44135</v>
      </c>
      <c r="B203">
        <v>8.9094668469996655E-2</v>
      </c>
      <c r="C203">
        <v>0.41492504994717222</v>
      </c>
      <c r="D203">
        <v>0.4959802815828312</v>
      </c>
    </row>
    <row r="204" spans="1:4" x14ac:dyDescent="0.35">
      <c r="A204" s="1">
        <v>44165</v>
      </c>
      <c r="B204">
        <v>4.8550905865804662E-2</v>
      </c>
      <c r="C204">
        <v>0.94936586743678009</v>
      </c>
      <c r="D204">
        <v>2.083226697415173E-3</v>
      </c>
    </row>
    <row r="205" spans="1:4" x14ac:dyDescent="0.35">
      <c r="A205" s="1">
        <v>44196</v>
      </c>
      <c r="B205">
        <v>0.10781947222202611</v>
      </c>
      <c r="C205">
        <v>0.89166652447946448</v>
      </c>
      <c r="D205">
        <v>5.1400329850936216E-4</v>
      </c>
    </row>
    <row r="206" spans="1:4" x14ac:dyDescent="0.35">
      <c r="A206" s="1">
        <v>44227</v>
      </c>
      <c r="B206">
        <v>5.1065401788353018E-2</v>
      </c>
      <c r="C206">
        <v>0.9416920562787916</v>
      </c>
      <c r="D206">
        <v>7.2425419328553189E-3</v>
      </c>
    </row>
    <row r="207" spans="1:4" x14ac:dyDescent="0.35">
      <c r="A207" s="1">
        <v>44255</v>
      </c>
      <c r="B207">
        <v>5.6222469211415382E-2</v>
      </c>
      <c r="C207">
        <v>0.92682552824494768</v>
      </c>
      <c r="D207">
        <v>1.6952002543636931E-2</v>
      </c>
    </row>
    <row r="208" spans="1:4" x14ac:dyDescent="0.35">
      <c r="A208" s="1">
        <v>44286</v>
      </c>
      <c r="B208">
        <v>5.1899758219377527E-2</v>
      </c>
      <c r="C208">
        <v>0.94023525891729087</v>
      </c>
      <c r="D208">
        <v>7.8649828633316175E-3</v>
      </c>
    </row>
    <row r="209" spans="1:4" x14ac:dyDescent="0.35">
      <c r="A209" s="1">
        <v>44316</v>
      </c>
      <c r="B209">
        <v>5.0422024933542128E-2</v>
      </c>
      <c r="C209">
        <v>0.94656960475434049</v>
      </c>
      <c r="D209">
        <v>3.0083703121174632E-3</v>
      </c>
    </row>
    <row r="210" spans="1:4" x14ac:dyDescent="0.35">
      <c r="A210" s="1">
        <v>44347</v>
      </c>
      <c r="B210">
        <v>5.0673593847001708E-2</v>
      </c>
      <c r="C210">
        <v>0.94498463720084536</v>
      </c>
      <c r="D210">
        <v>4.3417689521528992E-3</v>
      </c>
    </row>
    <row r="211" spans="1:4" x14ac:dyDescent="0.35">
      <c r="A211" s="1">
        <v>44377</v>
      </c>
      <c r="B211">
        <v>5.2172430639487448E-2</v>
      </c>
      <c r="C211">
        <v>0.9442257207061503</v>
      </c>
      <c r="D211">
        <v>3.6018486543622531E-3</v>
      </c>
    </row>
    <row r="212" spans="1:4" x14ac:dyDescent="0.35">
      <c r="A212" s="1">
        <v>44408</v>
      </c>
      <c r="B212">
        <v>5.1084066835932133E-2</v>
      </c>
      <c r="C212">
        <v>0.9477958737081511</v>
      </c>
      <c r="D212">
        <v>1.1200594559168031E-3</v>
      </c>
    </row>
    <row r="213" spans="1:4" x14ac:dyDescent="0.35">
      <c r="A213" s="1">
        <v>44439</v>
      </c>
      <c r="B213">
        <v>5.2221835138955737E-2</v>
      </c>
      <c r="C213">
        <v>0.94301461889161431</v>
      </c>
      <c r="D213">
        <v>4.7635459694299444E-3</v>
      </c>
    </row>
    <row r="214" spans="1:4" x14ac:dyDescent="0.35">
      <c r="A214" s="1">
        <v>44469</v>
      </c>
      <c r="B214">
        <v>4.9713059250844273E-2</v>
      </c>
      <c r="C214">
        <v>0.94737338053029574</v>
      </c>
      <c r="D214">
        <v>2.9135602188600351E-3</v>
      </c>
    </row>
    <row r="215" spans="1:4" x14ac:dyDescent="0.35">
      <c r="A215" s="1">
        <v>44500</v>
      </c>
      <c r="B215">
        <v>4.8119309246222999E-2</v>
      </c>
      <c r="C215">
        <v>0.95152004162334325</v>
      </c>
      <c r="D215">
        <v>3.6064913043382948E-4</v>
      </c>
    </row>
    <row r="216" spans="1:4" x14ac:dyDescent="0.35">
      <c r="A216" s="1">
        <v>44530</v>
      </c>
      <c r="B216">
        <v>9.2988498637493061E-2</v>
      </c>
      <c r="C216">
        <v>0.8970992688699716</v>
      </c>
      <c r="D216">
        <v>9.9122324925353909E-3</v>
      </c>
    </row>
    <row r="217" spans="1:4" x14ac:dyDescent="0.35">
      <c r="A217" s="1">
        <v>44561</v>
      </c>
      <c r="B217">
        <v>0.1065658667738143</v>
      </c>
      <c r="C217">
        <v>0.63834107024570919</v>
      </c>
      <c r="D217">
        <v>0.25509306298047651</v>
      </c>
    </row>
    <row r="218" spans="1:4" x14ac:dyDescent="0.35">
      <c r="A218" s="1">
        <v>44592</v>
      </c>
      <c r="B218">
        <v>3.512339724542926E-4</v>
      </c>
      <c r="C218">
        <v>3.0442815893563209E-3</v>
      </c>
      <c r="D218">
        <v>0.99660448443818928</v>
      </c>
    </row>
    <row r="219" spans="1:4" x14ac:dyDescent="0.35">
      <c r="A219" s="1">
        <v>44620</v>
      </c>
      <c r="B219">
        <v>8.7940418602513351E-2</v>
      </c>
      <c r="C219">
        <v>0.21444411241797109</v>
      </c>
      <c r="D219">
        <v>0.69761546897951554</v>
      </c>
    </row>
    <row r="220" spans="1:4" x14ac:dyDescent="0.35">
      <c r="A220" s="1">
        <v>44651</v>
      </c>
      <c r="B220">
        <v>7.0307793901206908E-2</v>
      </c>
      <c r="C220">
        <v>0.92410402746097509</v>
      </c>
      <c r="D220">
        <v>5.588178637818012E-3</v>
      </c>
    </row>
    <row r="221" spans="1:4" x14ac:dyDescent="0.35">
      <c r="A221" s="1">
        <v>44681</v>
      </c>
      <c r="B221">
        <v>0.16699228461274801</v>
      </c>
      <c r="C221">
        <v>0.52312292385287906</v>
      </c>
      <c r="D221">
        <v>0.30988479153437309</v>
      </c>
    </row>
    <row r="222" spans="1:4" x14ac:dyDescent="0.35">
      <c r="A222" s="1">
        <v>44712</v>
      </c>
      <c r="B222">
        <v>0.1103973606047419</v>
      </c>
      <c r="C222">
        <v>6.2754521249703751E-3</v>
      </c>
      <c r="D222">
        <v>0.88332718727028781</v>
      </c>
    </row>
    <row r="223" spans="1:4" x14ac:dyDescent="0.35">
      <c r="A223" s="1">
        <v>44742</v>
      </c>
      <c r="B223">
        <v>0.55474404770487051</v>
      </c>
      <c r="C223">
        <v>8.9328484923567514E-2</v>
      </c>
      <c r="D223">
        <v>0.355927467371562</v>
      </c>
    </row>
    <row r="224" spans="1:4" x14ac:dyDescent="0.35">
      <c r="A224" s="1">
        <v>44773</v>
      </c>
      <c r="B224">
        <v>3.7667564365869377E-2</v>
      </c>
      <c r="C224">
        <v>0.96200098882450602</v>
      </c>
      <c r="D224">
        <v>3.3144680962466082E-4</v>
      </c>
    </row>
    <row r="225" spans="1:4" x14ac:dyDescent="0.35">
      <c r="A225" s="1">
        <v>44804</v>
      </c>
      <c r="B225">
        <v>6.2035971671341637E-2</v>
      </c>
      <c r="C225">
        <v>0.93402940694256542</v>
      </c>
      <c r="D225">
        <v>3.9346213860929303E-3</v>
      </c>
    </row>
    <row r="226" spans="1:4" x14ac:dyDescent="0.35">
      <c r="A226" s="1">
        <v>44834</v>
      </c>
      <c r="B226">
        <v>2.8396572710059219E-3</v>
      </c>
      <c r="C226">
        <v>1.9697517260450319E-3</v>
      </c>
      <c r="D226">
        <v>0.99519059100294915</v>
      </c>
    </row>
    <row r="227" spans="1:4" x14ac:dyDescent="0.35">
      <c r="A227" s="1">
        <v>44865</v>
      </c>
      <c r="B227">
        <v>1.7253264815839629E-2</v>
      </c>
      <c r="C227">
        <v>0.982656601032592</v>
      </c>
      <c r="D227">
        <v>9.0134151568304323E-5</v>
      </c>
    </row>
    <row r="228" spans="1:4" x14ac:dyDescent="0.35">
      <c r="A228" s="1">
        <v>44895</v>
      </c>
      <c r="B228">
        <v>0.1021390190958314</v>
      </c>
      <c r="C228">
        <v>0.89779146941543253</v>
      </c>
      <c r="D228">
        <v>6.9511488736141827E-5</v>
      </c>
    </row>
    <row r="229" spans="1:4" x14ac:dyDescent="0.35">
      <c r="A229" s="1">
        <v>44926</v>
      </c>
      <c r="B229">
        <v>0.15419667258509689</v>
      </c>
      <c r="C229">
        <v>0.81967652147446102</v>
      </c>
      <c r="D229">
        <v>2.6126805940442099E-2</v>
      </c>
    </row>
    <row r="230" spans="1:4" x14ac:dyDescent="0.35">
      <c r="A230" s="1">
        <v>44957</v>
      </c>
      <c r="B230">
        <v>0.22326483407008779</v>
      </c>
      <c r="C230">
        <v>3.7571049691134069E-2</v>
      </c>
      <c r="D230">
        <v>0.7391641162387782</v>
      </c>
    </row>
    <row r="231" spans="1:4" x14ac:dyDescent="0.35">
      <c r="A231" s="1">
        <v>44985</v>
      </c>
      <c r="B231">
        <v>7.6474372422207684E-2</v>
      </c>
      <c r="C231">
        <v>7.3445001724929182E-2</v>
      </c>
      <c r="D231">
        <v>0.85008062585286315</v>
      </c>
    </row>
    <row r="232" spans="1:4" x14ac:dyDescent="0.35">
      <c r="A232" s="1">
        <v>45016</v>
      </c>
      <c r="B232">
        <v>5.6521041086559809E-2</v>
      </c>
      <c r="C232">
        <v>5.9377332516640992E-2</v>
      </c>
      <c r="D232">
        <v>0.88410162639679923</v>
      </c>
    </row>
    <row r="233" spans="1:4" x14ac:dyDescent="0.35">
      <c r="A233" s="1">
        <v>45046</v>
      </c>
      <c r="B233">
        <v>0.13734662917383331</v>
      </c>
      <c r="C233">
        <v>0.8557042227230558</v>
      </c>
      <c r="D233">
        <v>6.9491481031109326E-3</v>
      </c>
    </row>
    <row r="234" spans="1:4" x14ac:dyDescent="0.35">
      <c r="A234" s="1">
        <v>45077</v>
      </c>
      <c r="B234">
        <v>0.13085158170880101</v>
      </c>
      <c r="C234">
        <v>0.86371374729769312</v>
      </c>
      <c r="D234">
        <v>5.4346709935059042E-3</v>
      </c>
    </row>
    <row r="235" spans="1:4" x14ac:dyDescent="0.35">
      <c r="A235" s="1">
        <v>45107</v>
      </c>
      <c r="B235">
        <v>5.7135798585273671E-2</v>
      </c>
      <c r="C235">
        <v>6.0450503459408327E-2</v>
      </c>
      <c r="D235">
        <v>0.88241369795531788</v>
      </c>
    </row>
    <row r="236" spans="1:4" x14ac:dyDescent="0.35">
      <c r="A236" s="1">
        <v>45138</v>
      </c>
      <c r="B236">
        <v>6.9636287387786572E-2</v>
      </c>
      <c r="C236">
        <v>6.2192714721730102E-2</v>
      </c>
      <c r="D236">
        <v>0.86817099789048335</v>
      </c>
    </row>
    <row r="237" spans="1:4" x14ac:dyDescent="0.35">
      <c r="A237" s="1">
        <v>45169</v>
      </c>
      <c r="B237">
        <v>0.1450246974943693</v>
      </c>
      <c r="C237">
        <v>5.4722821931522433E-2</v>
      </c>
      <c r="D237">
        <v>0.80025248057410814</v>
      </c>
    </row>
    <row r="238" spans="1:4" x14ac:dyDescent="0.35">
      <c r="A238" s="1">
        <v>45199</v>
      </c>
      <c r="B238">
        <v>7.5906828987342551E-2</v>
      </c>
      <c r="C238">
        <v>5.9096531557246361E-2</v>
      </c>
      <c r="D238">
        <v>0.86499663945541116</v>
      </c>
    </row>
    <row r="239" spans="1:4" x14ac:dyDescent="0.35">
      <c r="A239" s="1">
        <v>45230</v>
      </c>
      <c r="B239">
        <v>0.32373957312786228</v>
      </c>
      <c r="C239">
        <v>0.49757932859926862</v>
      </c>
      <c r="D239">
        <v>0.17868109827286921</v>
      </c>
    </row>
    <row r="240" spans="1:4" x14ac:dyDescent="0.35">
      <c r="A240" s="1">
        <v>45260</v>
      </c>
      <c r="B240">
        <v>1.4456149285821179E-4</v>
      </c>
      <c r="C240">
        <v>0.2147224360167084</v>
      </c>
      <c r="D240">
        <v>0.78513300249043327</v>
      </c>
    </row>
    <row r="241" spans="1:4" x14ac:dyDescent="0.35">
      <c r="A241" s="1">
        <v>45291</v>
      </c>
      <c r="B241">
        <v>0.33650399075301729</v>
      </c>
      <c r="C241">
        <v>0.59630066542870552</v>
      </c>
      <c r="D241">
        <v>6.7195343818277103E-2</v>
      </c>
    </row>
    <row r="242" spans="1:4" x14ac:dyDescent="0.35">
      <c r="A242" s="1">
        <v>45322</v>
      </c>
      <c r="B242">
        <v>0.36345895634485847</v>
      </c>
      <c r="C242">
        <v>0.50643470230063159</v>
      </c>
      <c r="D242">
        <v>0.13010634135450991</v>
      </c>
    </row>
    <row r="243" spans="1:4" x14ac:dyDescent="0.35">
      <c r="A243" s="1">
        <v>45351</v>
      </c>
      <c r="B243">
        <v>0.73479536059228667</v>
      </c>
      <c r="C243">
        <v>8.5340738678020833E-2</v>
      </c>
      <c r="D243">
        <v>0.17986390072969261</v>
      </c>
    </row>
    <row r="244" spans="1:4" x14ac:dyDescent="0.35">
      <c r="A244" s="1">
        <v>45382</v>
      </c>
      <c r="B244">
        <v>0.43721291941818069</v>
      </c>
      <c r="C244">
        <v>0.54160416948170631</v>
      </c>
      <c r="D244">
        <v>2.118291110011292E-2</v>
      </c>
    </row>
    <row r="245" spans="1:4" x14ac:dyDescent="0.35">
      <c r="A245" s="1">
        <v>45412</v>
      </c>
      <c r="B245">
        <v>6.1233876276583482E-5</v>
      </c>
      <c r="C245">
        <v>6.9399653153388779E-2</v>
      </c>
      <c r="D245">
        <v>0.93053911297033465</v>
      </c>
    </row>
    <row r="246" spans="1:4" x14ac:dyDescent="0.35">
      <c r="A246" s="1">
        <v>45443</v>
      </c>
      <c r="B246">
        <v>0.4480081838665666</v>
      </c>
      <c r="C246">
        <v>0.24199070687876159</v>
      </c>
      <c r="D246">
        <v>0.31000110925467178</v>
      </c>
    </row>
    <row r="247" spans="1:4" x14ac:dyDescent="0.35">
      <c r="A247" s="1">
        <v>45473</v>
      </c>
      <c r="B247">
        <v>6.3517197850047308E-2</v>
      </c>
      <c r="C247">
        <v>0.50721215213605175</v>
      </c>
      <c r="D247">
        <v>0.42927065001390102</v>
      </c>
    </row>
    <row r="248" spans="1:4" x14ac:dyDescent="0.35">
      <c r="A248" s="1">
        <v>45504</v>
      </c>
      <c r="B248">
        <v>6.4360699579763009E-2</v>
      </c>
      <c r="C248">
        <v>0.34813510274634568</v>
      </c>
      <c r="D248">
        <v>0.58750419767389128</v>
      </c>
    </row>
    <row r="249" spans="1:4" x14ac:dyDescent="0.35">
      <c r="A249" s="1">
        <v>45535</v>
      </c>
      <c r="B249">
        <v>0.2021139890958871</v>
      </c>
      <c r="C249">
        <v>0.74794070272591273</v>
      </c>
      <c r="D249">
        <v>4.994530817820008E-2</v>
      </c>
    </row>
    <row r="250" spans="1:4" x14ac:dyDescent="0.35">
      <c r="A250" s="1">
        <v>45565</v>
      </c>
      <c r="B250">
        <v>5.6245936862753417E-11</v>
      </c>
      <c r="C250">
        <v>0.99999999994373168</v>
      </c>
      <c r="D250">
        <v>2.24483392861473E-14</v>
      </c>
    </row>
    <row r="251" spans="1:4" x14ac:dyDescent="0.35">
      <c r="A251" s="1">
        <v>45596</v>
      </c>
      <c r="B251">
        <v>0.28411968328157883</v>
      </c>
      <c r="C251">
        <v>0.50261774279223737</v>
      </c>
      <c r="D251">
        <v>0.2132625739261837</v>
      </c>
    </row>
    <row r="252" spans="1:4" x14ac:dyDescent="0.35">
      <c r="A252" s="1">
        <v>45626</v>
      </c>
      <c r="B252">
        <v>1.64064145554942E-2</v>
      </c>
      <c r="C252">
        <v>0.84610014696007485</v>
      </c>
      <c r="D252">
        <v>0.13749343848443091</v>
      </c>
    </row>
    <row r="253" spans="1:4" x14ac:dyDescent="0.35">
      <c r="A253" s="1">
        <v>45657</v>
      </c>
      <c r="B253">
        <v>6.5905502122373668E-24</v>
      </c>
      <c r="C253">
        <v>0.30082182575854333</v>
      </c>
      <c r="D253">
        <v>0.69917817424145667</v>
      </c>
    </row>
    <row r="254" spans="1:4" x14ac:dyDescent="0.35">
      <c r="A254" s="1">
        <v>45688</v>
      </c>
      <c r="B254">
        <v>0.2239540467453599</v>
      </c>
      <c r="C254">
        <v>0.36344969465006632</v>
      </c>
      <c r="D254">
        <v>0.41259625860457388</v>
      </c>
    </row>
    <row r="255" spans="1:4" x14ac:dyDescent="0.35">
      <c r="A255" s="1">
        <v>45716</v>
      </c>
      <c r="B255">
        <v>0.1231370897908018</v>
      </c>
      <c r="C255">
        <v>0.2968487679260568</v>
      </c>
      <c r="D255">
        <v>0.58001414228314141</v>
      </c>
    </row>
    <row r="256" spans="1:4" x14ac:dyDescent="0.35">
      <c r="A256" s="1">
        <v>45747</v>
      </c>
      <c r="B256">
        <v>0.86970746969655988</v>
      </c>
      <c r="C256">
        <v>2.097414488604652E-6</v>
      </c>
      <c r="D256">
        <v>0.13029043288895159</v>
      </c>
    </row>
    <row r="257" spans="1:4" x14ac:dyDescent="0.35">
      <c r="A257" s="1">
        <v>45777</v>
      </c>
      <c r="B257">
        <v>2.1870743781884491E-3</v>
      </c>
      <c r="C257">
        <v>0.99712319231776847</v>
      </c>
      <c r="D257">
        <v>6.897333040431201E-4</v>
      </c>
    </row>
    <row r="258" spans="1:4" x14ac:dyDescent="0.35">
      <c r="A258" s="1">
        <v>45808</v>
      </c>
      <c r="B258">
        <v>5.6332359643486334E-3</v>
      </c>
      <c r="C258">
        <v>0.97810576154355311</v>
      </c>
      <c r="D258">
        <v>1.6261002492098268E-2</v>
      </c>
    </row>
    <row r="259" spans="1:4" x14ac:dyDescent="0.35">
      <c r="A259" s="1">
        <v>45838</v>
      </c>
      <c r="B259">
        <v>0.28312552413839781</v>
      </c>
      <c r="C259">
        <v>0.70723486164031679</v>
      </c>
      <c r="D259">
        <v>9.6396142212854686E-3</v>
      </c>
    </row>
    <row r="260" spans="1:4" x14ac:dyDescent="0.35">
      <c r="A260" s="1">
        <v>45869</v>
      </c>
      <c r="B260">
        <v>6.1305087698328153E-2</v>
      </c>
      <c r="C260">
        <v>0.93811449221810939</v>
      </c>
      <c r="D260">
        <v>5.8042008356252149E-4</v>
      </c>
    </row>
    <row r="261" spans="1:4" x14ac:dyDescent="0.35">
      <c r="A261" s="1">
        <v>45900</v>
      </c>
      <c r="B261">
        <v>6.9999167473055401E-2</v>
      </c>
      <c r="C261">
        <v>0.9226960051446772</v>
      </c>
      <c r="D261">
        <v>7.3048273822675074E-3</v>
      </c>
    </row>
    <row r="262" spans="1:4" x14ac:dyDescent="0.35">
      <c r="A262" s="1">
        <v>45930</v>
      </c>
      <c r="B262">
        <v>0.29173892042303379</v>
      </c>
      <c r="C262">
        <v>0.61563074689991859</v>
      </c>
      <c r="D262">
        <v>9.2630332677047636E-2</v>
      </c>
    </row>
    <row r="263" spans="1:4" x14ac:dyDescent="0.35">
      <c r="A263" s="1">
        <v>45961</v>
      </c>
      <c r="B263">
        <v>8.1248452683426356E-2</v>
      </c>
      <c r="C263">
        <v>0.25639850470137021</v>
      </c>
      <c r="D263">
        <v>0.66235304261520345</v>
      </c>
    </row>
    <row r="264" spans="1:4" x14ac:dyDescent="0.35">
      <c r="A264" s="1">
        <v>45991</v>
      </c>
      <c r="B264">
        <v>0.87376314860371374</v>
      </c>
      <c r="C264">
        <v>1.2776176382682431E-5</v>
      </c>
      <c r="D264">
        <v>0.12622407521990359</v>
      </c>
    </row>
    <row r="265" spans="1:4" x14ac:dyDescent="0.35">
      <c r="A265" s="1">
        <v>46022</v>
      </c>
      <c r="B265">
        <v>0.20081144515404101</v>
      </c>
      <c r="C265">
        <v>0.72715594443358278</v>
      </c>
      <c r="D265">
        <v>7.2032610412376255E-2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Config</vt:lpstr>
      <vt:lpstr>Performance</vt:lpstr>
      <vt:lpstr>Decision_Log</vt:lpstr>
      <vt:lpstr>Weights</vt:lpstr>
      <vt:lpstr>Wealth_Drawdown</vt:lpstr>
      <vt:lpstr>Asset_Returns</vt:lpstr>
      <vt:lpstr>Predictive_Probabilities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Preslav Vachev</cp:lastModifiedBy>
  <dcterms:created xsi:type="dcterms:W3CDTF">2026-04-07T10:04:16Z</dcterms:created>
  <dcterms:modified xsi:type="dcterms:W3CDTF">2026-04-07T10:13:52Z</dcterms:modified>
</cp:coreProperties>
</file>